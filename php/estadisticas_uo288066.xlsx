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ew2526\php\"/>
    </mc:Choice>
  </mc:AlternateContent>
  <xr:revisionPtr revIDLastSave="0" documentId="13_ncr:1_{DA05F479-33B3-48CA-B8A0-C73567CA8FBB}" xr6:coauthVersionLast="47" xr6:coauthVersionMax="47" xr10:uidLastSave="{00000000-0000-0000-0000-000000000000}"/>
  <bookViews>
    <workbookView xWindow="-113" yWindow="-113" windowWidth="24267" windowHeight="13749" activeTab="5" xr2:uid="{EDA6C373-C3B0-4FB2-93F3-0BDE48218607}"/>
  </bookViews>
  <sheets>
    <sheet name="uo288066_db_resultados" sheetId="15" r:id="rId1"/>
    <sheet name="uo288066_db_usuarios" sheetId="14" r:id="rId2"/>
    <sheet name="stats_1" sheetId="11" r:id="rId3"/>
    <sheet name="stats_2" sheetId="17" r:id="rId4"/>
    <sheet name="stats_3" sheetId="18" r:id="rId5"/>
    <sheet name="stats_general" sheetId="16" r:id="rId6"/>
  </sheets>
  <definedNames>
    <definedName name="DatosExternos_2" localSheetId="1" hidden="1">uo288066_db_usuarios!$A$1:$D$7</definedName>
    <definedName name="DatosExternos_3" localSheetId="0" hidden="1">uo288066_db_resultados!$A$1:$E$6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6" l="1"/>
  <c r="E27" i="16"/>
  <c r="F27" i="16"/>
  <c r="H27" i="16"/>
  <c r="I27" i="16"/>
  <c r="J27" i="16"/>
  <c r="C27" i="16"/>
  <c r="D26" i="16"/>
  <c r="E26" i="16"/>
  <c r="C26" i="16"/>
  <c r="H21" i="16"/>
  <c r="C21" i="16"/>
  <c r="J20" i="16"/>
  <c r="I20" i="16"/>
  <c r="H20" i="16"/>
  <c r="G20" i="16"/>
  <c r="G27" i="16" s="1"/>
  <c r="F20" i="16"/>
  <c r="E20" i="16"/>
  <c r="D20" i="16"/>
  <c r="C20" i="16"/>
  <c r="J19" i="16"/>
  <c r="J26" i="16" s="1"/>
  <c r="I19" i="16"/>
  <c r="I26" i="16" s="1"/>
  <c r="H19" i="16"/>
  <c r="H26" i="16" s="1"/>
  <c r="G19" i="16"/>
  <c r="G26" i="16" s="1"/>
  <c r="F19" i="16"/>
  <c r="F26" i="16" s="1"/>
  <c r="E19" i="16"/>
  <c r="D19" i="16"/>
  <c r="C19" i="16"/>
  <c r="E18" i="18"/>
  <c r="M12" i="16"/>
  <c r="L12" i="16"/>
  <c r="K12" i="16"/>
  <c r="D18" i="18"/>
  <c r="C18" i="18"/>
  <c r="F12" i="18"/>
  <c r="E12" i="18"/>
  <c r="D12" i="18"/>
  <c r="C12" i="18"/>
  <c r="G6" i="18"/>
  <c r="F6" i="18"/>
  <c r="E6" i="18"/>
  <c r="D6" i="18"/>
  <c r="C6" i="18"/>
  <c r="C2" i="18"/>
  <c r="E18" i="17" a="1"/>
  <c r="E18" i="17" s="1"/>
  <c r="D18" i="17"/>
  <c r="C18" i="17"/>
  <c r="F12" i="17"/>
  <c r="E12" i="17"/>
  <c r="D12" i="17"/>
  <c r="C12" i="17"/>
  <c r="G6" i="17"/>
  <c r="F6" i="17"/>
  <c r="E6" i="17"/>
  <c r="D6" i="17"/>
  <c r="C6" i="17"/>
  <c r="C2" i="17"/>
  <c r="E12" i="16" a="1"/>
  <c r="E12" i="16" s="1"/>
  <c r="D12" i="16"/>
  <c r="C12" i="16"/>
  <c r="C2" i="16"/>
  <c r="N6" i="16"/>
  <c r="M6" i="16"/>
  <c r="L6" i="16"/>
  <c r="K6" i="16"/>
  <c r="G6" i="16"/>
  <c r="F6" i="16"/>
  <c r="E6" i="16"/>
  <c r="D6" i="16"/>
  <c r="C6" i="16"/>
  <c r="C6" i="11"/>
  <c r="E7" i="11" s="1"/>
  <c r="C13" i="11"/>
  <c r="D13" i="11"/>
  <c r="F12" i="11"/>
  <c r="F13" i="11" s="1"/>
  <c r="E12" i="11"/>
  <c r="E13" i="11" s="1"/>
  <c r="D12" i="11"/>
  <c r="D6" i="11"/>
  <c r="C12" i="11"/>
  <c r="G6" i="11"/>
  <c r="F6" i="11"/>
  <c r="E6" i="11"/>
  <c r="E18" i="11" a="1"/>
  <c r="E18" i="11" s="1"/>
  <c r="D18" i="11"/>
  <c r="C18" i="11"/>
  <c r="C2" i="11"/>
  <c r="E21" i="16" l="1"/>
  <c r="D19" i="11"/>
  <c r="C19" i="18"/>
  <c r="E19" i="18"/>
  <c r="D19" i="18"/>
  <c r="D13" i="18"/>
  <c r="E13" i="18"/>
  <c r="F13" i="18"/>
  <c r="G7" i="18"/>
  <c r="E7" i="18"/>
  <c r="F7" i="18"/>
  <c r="C7" i="18"/>
  <c r="D7" i="18"/>
  <c r="C13" i="18"/>
  <c r="C19" i="17"/>
  <c r="D19" i="17"/>
  <c r="E19" i="17"/>
  <c r="C13" i="17"/>
  <c r="D13" i="17"/>
  <c r="E13" i="17"/>
  <c r="F13" i="17"/>
  <c r="C7" i="17"/>
  <c r="E7" i="17"/>
  <c r="D7" i="17"/>
  <c r="G7" i="17"/>
  <c r="F7" i="17"/>
  <c r="C13" i="16"/>
  <c r="E13" i="16"/>
  <c r="D13" i="16"/>
  <c r="K7" i="16"/>
  <c r="M7" i="16"/>
  <c r="N7" i="16"/>
  <c r="G7" i="16"/>
  <c r="F7" i="16"/>
  <c r="E7" i="16"/>
  <c r="C7" i="16"/>
  <c r="D7" i="16"/>
  <c r="C7" i="11"/>
  <c r="G7" i="11"/>
  <c r="D7" i="11"/>
  <c r="F7" i="11"/>
  <c r="C19" i="11"/>
  <c r="L7" i="16"/>
  <c r="E19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0F0819-5CEB-4E82-BFE9-F4D10AB6593F}" keepAlive="1" name="Consulta - uo288066_db" description="Conexión a la consulta 'uo288066_db' en el libro." type="5" refreshedVersion="0" background="1">
    <dbPr connection="Provider=Microsoft.Mashup.OleDb.1;Data Source=$Workbook$;Location=uo288066_db;Extended Properties=&quot;&quot;" command="SELECT * FROM [uo288066_db]"/>
  </connection>
  <connection id="2" xr16:uid="{13F2D9F2-0FBD-447E-810D-E8923848BFB8}" keepAlive="1" name="Consulta - uo288066_db_dispositivos" description="Conexión a la consulta 'uo288066_db_dispositivos' en el libro." type="5" refreshedVersion="8" background="1" saveData="1">
    <dbPr connection="Provider=Microsoft.Mashup.OleDb.1;Data Source=$Workbook$;Location=uo288066_db_dispositivos;Extended Properties=&quot;&quot;" command="SELECT * FROM [uo288066_db_dispositivos]"/>
  </connection>
  <connection id="3" xr16:uid="{4E5CA8C5-7FCE-44D7-ADEC-7036FF30FEA5}" keepAlive="1" name="Consulta - uo288066_db_observaciones" description="Conexión a la consulta 'uo288066_db_observaciones' en el libro." type="5" refreshedVersion="0" background="1">
    <dbPr connection="Provider=Microsoft.Mashup.OleDb.1;Data Source=$Workbook$;Location=uo288066_db_observaciones;Extended Properties=&quot;&quot;" command="SELECT * FROM [uo288066_db_observaciones]"/>
  </connection>
  <connection id="4" xr16:uid="{CE3FC8A2-15B1-4DD1-B626-D4BD0C260C6F}" keepAlive="1" name="Consulta - uo288066_db_resultados" description="Conexión a la consulta 'uo288066_db_resultados' en el libro." type="5" refreshedVersion="8" background="1" saveData="1">
    <dbPr connection="Provider=Microsoft.Mashup.OleDb.1;Data Source=$Workbook$;Location=uo288066_db_resultados;Extended Properties=&quot;&quot;" command="SELECT * FROM [uo288066_db_resultados]"/>
  </connection>
  <connection id="5" xr16:uid="{978F7FFF-3868-43CE-9FB8-97E5F2E56277}" keepAlive="1" name="Consulta - uo288066_db_usuarios" description="Conexión a la consulta 'uo288066_db_usuarios' en el libro." type="5" refreshedVersion="8" background="1" saveData="1">
    <dbPr connection="Provider=Microsoft.Mashup.OleDb.1;Data Source=$Workbook$;Location=uo288066_db_usuarios;Extended Properties=&quot;&quot;" command="SELECT * FROM [uo288066_db_usuari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<sst xmlns="http://schemas.openxmlformats.org/spreadsheetml/2006/main" count="139" uniqueCount="46">
  <si>
    <t>id_dispositivo</t>
  </si>
  <si>
    <t xml:space="preserve">EDAD MEDIA: </t>
  </si>
  <si>
    <t>EDADES</t>
  </si>
  <si>
    <t>0-20</t>
  </si>
  <si>
    <t>20-30</t>
  </si>
  <si>
    <t>30-40</t>
  </si>
  <si>
    <t>40-65</t>
  </si>
  <si>
    <t>65+</t>
  </si>
  <si>
    <t>RANGO</t>
  </si>
  <si>
    <t>NUMERO</t>
  </si>
  <si>
    <t>PORCENTAJE</t>
  </si>
  <si>
    <t>DESTREZA</t>
  </si>
  <si>
    <t>3 a 5</t>
  </si>
  <si>
    <t>5 a 7</t>
  </si>
  <si>
    <t>7 a 10</t>
  </si>
  <si>
    <t xml:space="preserve">0 a 3 </t>
  </si>
  <si>
    <t>GÉNEROS</t>
  </si>
  <si>
    <t>FEMENINO</t>
  </si>
  <si>
    <t>MASCULINO</t>
  </si>
  <si>
    <t>CANTIDAD</t>
  </si>
  <si>
    <t>GRÁFICAS GENERALES:</t>
  </si>
  <si>
    <t>id_usuario</t>
  </si>
  <si>
    <t>profesion</t>
  </si>
  <si>
    <t>edad</t>
  </si>
  <si>
    <t>genero</t>
  </si>
  <si>
    <t>Estudiante informatica</t>
  </si>
  <si>
    <t>Masculino</t>
  </si>
  <si>
    <t>ADMINISTRATIVO</t>
  </si>
  <si>
    <t>Femenino</t>
  </si>
  <si>
    <t>entrenador</t>
  </si>
  <si>
    <t>id_resultado</t>
  </si>
  <si>
    <t>tiempo</t>
  </si>
  <si>
    <t>valoracion</t>
  </si>
  <si>
    <t>OTRO</t>
  </si>
  <si>
    <t>destreza</t>
  </si>
  <si>
    <t>TANDAS</t>
  </si>
  <si>
    <t>TANDA</t>
  </si>
  <si>
    <t>TIEMPO</t>
  </si>
  <si>
    <t>TIEMPO MEDIO</t>
  </si>
  <si>
    <t>Tanda 1</t>
  </si>
  <si>
    <t>Tanda 2</t>
  </si>
  <si>
    <t>Tanda 3</t>
  </si>
  <si>
    <t>USUARIO</t>
  </si>
  <si>
    <t>PERICIA</t>
  </si>
  <si>
    <t>DATOS NORMALIZADOS PARA GRÁFICAS</t>
  </si>
  <si>
    <t>Tecnico electrico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</si>
</sst>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0" fillId="2" borderId="1" xfId="0" applyFill="1" applyBorder="1" applyAlignment="1">
      <alignment horizontal="right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2" fontId="0" fillId="6" borderId="1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8" borderId="1" xfId="0" applyFill="1" applyBorder="1"/>
    <xf numFmtId="0" fontId="0" fillId="9" borderId="9" xfId="0" applyFill="1" applyBorder="1"/>
    <xf numFmtId="0" fontId="0" fillId="10" borderId="1" xfId="0" applyFill="1" applyBorder="1" applyAlignment="1">
      <alignment horizontal="right"/>
    </xf>
    <xf numFmtId="0" fontId="0" fillId="10" borderId="19" xfId="0" applyFill="1" applyBorder="1" applyAlignment="1">
      <alignment horizontal="right"/>
    </xf>
    <xf numFmtId="0" fontId="0" fillId="11" borderId="10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3" borderId="17" xfId="0" applyFill="1" applyBorder="1"/>
    <xf numFmtId="0" fontId="0" fillId="13" borderId="18" xfId="0" applyFill="1" applyBorder="1"/>
    <xf numFmtId="0" fontId="0" fillId="13" borderId="12" xfId="0" applyFill="1" applyBorder="1"/>
    <xf numFmtId="0" fontId="0" fillId="13" borderId="14" xfId="0" applyFill="1" applyBorder="1"/>
    <xf numFmtId="0" fontId="0" fillId="13" borderId="6" xfId="0" applyFill="1" applyBorder="1"/>
    <xf numFmtId="9" fontId="0" fillId="0" borderId="0" xfId="1" applyFont="1"/>
    <xf numFmtId="0" fontId="0" fillId="0" borderId="6" xfId="0" applyBorder="1"/>
    <xf numFmtId="0" fontId="0" fillId="11" borderId="20" xfId="0" applyFill="1" applyBorder="1" applyAlignment="1">
      <alignment horizontal="center"/>
    </xf>
    <xf numFmtId="0" fontId="0" fillId="0" borderId="23" xfId="0" applyBorder="1"/>
    <xf numFmtId="9" fontId="0" fillId="12" borderId="13" xfId="1" applyFont="1" applyFill="1" applyBorder="1"/>
    <xf numFmtId="9" fontId="0" fillId="12" borderId="24" xfId="1" applyFont="1" applyFill="1" applyBorder="1"/>
    <xf numFmtId="9" fontId="1" fillId="4" borderId="13" xfId="1" applyFont="1" applyFill="1" applyBorder="1"/>
    <xf numFmtId="0" fontId="0" fillId="0" borderId="5" xfId="0" applyBorder="1"/>
    <xf numFmtId="0" fontId="0" fillId="0" borderId="21" xfId="0" applyBorder="1"/>
    <xf numFmtId="0" fontId="0" fillId="15" borderId="3" xfId="0" applyFill="1" applyBorder="1"/>
    <xf numFmtId="0" fontId="0" fillId="15" borderId="4" xfId="0" applyFill="1" applyBorder="1"/>
    <xf numFmtId="0" fontId="0" fillId="15" borderId="5" xfId="0" applyFill="1" applyBorder="1"/>
    <xf numFmtId="0" fontId="0" fillId="15" borderId="0" xfId="0" applyFill="1"/>
    <xf numFmtId="0" fontId="0" fillId="15" borderId="6" xfId="0" applyFill="1" applyBorder="1"/>
    <xf numFmtId="0" fontId="0" fillId="15" borderId="7" xfId="0" applyFill="1" applyBorder="1"/>
    <xf numFmtId="0" fontId="0" fillId="15" borderId="25" xfId="0" applyFill="1" applyBorder="1"/>
    <xf numFmtId="0" fontId="0" fillId="15" borderId="21" xfId="0" applyFill="1" applyBorder="1"/>
    <xf numFmtId="9" fontId="0" fillId="7" borderId="13" xfId="1" applyFont="1" applyFill="1" applyBorder="1"/>
    <xf numFmtId="9" fontId="0" fillId="7" borderId="28" xfId="1" applyFont="1" applyFill="1" applyBorder="1"/>
    <xf numFmtId="9" fontId="0" fillId="7" borderId="21" xfId="1" applyFont="1" applyFill="1" applyBorder="1"/>
    <xf numFmtId="0" fontId="0" fillId="6" borderId="20" xfId="0" applyFill="1" applyBorder="1" applyAlignment="1">
      <alignment horizontal="center"/>
    </xf>
    <xf numFmtId="0" fontId="0" fillId="13" borderId="29" xfId="0" applyFill="1" applyBorder="1"/>
    <xf numFmtId="0" fontId="0" fillId="5" borderId="19" xfId="0" applyFill="1" applyBorder="1" applyAlignment="1">
      <alignment horizontal="right"/>
    </xf>
    <xf numFmtId="0" fontId="0" fillId="2" borderId="30" xfId="0" applyFill="1" applyBorder="1" applyAlignment="1">
      <alignment horizontal="right"/>
    </xf>
    <xf numFmtId="9" fontId="1" fillId="4" borderId="28" xfId="1" applyFont="1" applyFill="1" applyBorder="1"/>
    <xf numFmtId="9" fontId="0" fillId="12" borderId="28" xfId="1" applyFont="1" applyFill="1" applyBorder="1"/>
    <xf numFmtId="0" fontId="0" fillId="0" borderId="15" xfId="0" applyBorder="1"/>
    <xf numFmtId="0" fontId="0" fillId="0" borderId="31" xfId="0" applyBorder="1"/>
    <xf numFmtId="0" fontId="0" fillId="16" borderId="1" xfId="0" applyFill="1" applyBorder="1" applyAlignment="1">
      <alignment horizontal="right"/>
    </xf>
    <xf numFmtId="0" fontId="0" fillId="16" borderId="19" xfId="0" applyFill="1" applyBorder="1" applyAlignment="1">
      <alignment horizontal="right"/>
    </xf>
    <xf numFmtId="0" fontId="0" fillId="15" borderId="16" xfId="0" applyFill="1" applyBorder="1" applyAlignment="1">
      <alignment horizontal="center"/>
    </xf>
    <xf numFmtId="0" fontId="0" fillId="15" borderId="17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0" borderId="32" xfId="0" applyBorder="1"/>
    <xf numFmtId="0" fontId="0" fillId="17" borderId="1" xfId="0" applyFill="1" applyBorder="1" applyAlignment="1">
      <alignment horizontal="right"/>
    </xf>
    <xf numFmtId="0" fontId="0" fillId="17" borderId="19" xfId="0" applyFill="1" applyBorder="1" applyAlignment="1">
      <alignment horizontal="right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19" borderId="16" xfId="0" applyFill="1" applyBorder="1" applyAlignment="1">
      <alignment horizontal="center"/>
    </xf>
    <xf numFmtId="0" fontId="0" fillId="19" borderId="18" xfId="0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0" fillId="0" borderId="22" xfId="0" applyBorder="1"/>
    <xf numFmtId="0" fontId="0" fillId="0" borderId="27" xfId="0" applyBorder="1"/>
    <xf numFmtId="0" fontId="0" fillId="20" borderId="37" xfId="0" applyFill="1" applyBorder="1"/>
    <xf numFmtId="0" fontId="0" fillId="20" borderId="14" xfId="0" applyFill="1" applyBorder="1"/>
    <xf numFmtId="0" fontId="0" fillId="20" borderId="6" xfId="0" applyFill="1" applyBorder="1"/>
    <xf numFmtId="0" fontId="0" fillId="21" borderId="1" xfId="0" applyFill="1" applyBorder="1" applyAlignment="1">
      <alignment horizontal="right"/>
    </xf>
    <xf numFmtId="0" fontId="0" fillId="21" borderId="30" xfId="0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14" borderId="26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21" borderId="26" xfId="0" applyFill="1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8" borderId="26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26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19" borderId="2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26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EDADES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stats_1!$B$7</c:f>
              <c:strCache>
                <c:ptCount val="1"/>
                <c:pt idx="0">
                  <c:v>PORCENTAJE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stats_1!$C$5:$G$5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65+</c:v>
                </c:pt>
              </c:strCache>
            </c:strRef>
          </c:cat>
          <c:val>
            <c:numRef>
              <c:f>stats_1!$C$7:$G$7</c:f>
              <c:numCache>
                <c:formatCode>0%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2-420A-BDAC-3302E1D365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7892848"/>
        <c:axId val="1175488047"/>
      </c:lineChart>
      <c:catAx>
        <c:axId val="21789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5488047"/>
        <c:crosses val="autoZero"/>
        <c:auto val="1"/>
        <c:lblAlgn val="ctr"/>
        <c:lblOffset val="100"/>
        <c:noMultiLvlLbl val="0"/>
      </c:catAx>
      <c:valAx>
        <c:axId val="11754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78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DESTREZA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stats_1!$B$13</c:f>
              <c:strCache>
                <c:ptCount val="1"/>
                <c:pt idx="0">
                  <c:v>PORCENTAJE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stats_1!$C$11:$F$11</c:f>
              <c:strCache>
                <c:ptCount val="4"/>
                <c:pt idx="0">
                  <c:v>0 a 3 </c:v>
                </c:pt>
                <c:pt idx="1">
                  <c:v>3 a 5</c:v>
                </c:pt>
                <c:pt idx="2">
                  <c:v>5 a 7</c:v>
                </c:pt>
                <c:pt idx="3">
                  <c:v>7 a 10</c:v>
                </c:pt>
              </c:strCache>
            </c:strRef>
          </c:cat>
          <c:val>
            <c:numRef>
              <c:f>stats_1!$C$13:$F$13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7F-4437-B5C6-ECE96A8AF6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7418736"/>
        <c:axId val="1407418256"/>
      </c:lineChart>
      <c:catAx>
        <c:axId val="140741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418256"/>
        <c:crosses val="autoZero"/>
        <c:auto val="1"/>
        <c:lblAlgn val="ctr"/>
        <c:lblOffset val="100"/>
        <c:noMultiLvlLbl val="0"/>
      </c:catAx>
      <c:valAx>
        <c:axId val="14074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41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</a:t>
            </a:r>
            <a:r>
              <a:rPr lang="en-US" baseline="0"/>
              <a:t> DE EDADES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stats_1!$B$7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ED-4614-8320-417006043710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ED-4614-8320-41700604371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ED-4614-8320-417006043710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ED-4614-8320-417006043710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ED-4614-8320-41700604371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stats_1!$C$5:$G$5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65+</c:v>
                </c:pt>
              </c:strCache>
            </c:strRef>
          </c:cat>
          <c:val>
            <c:numRef>
              <c:f>stats_1!$C$7:$G$7</c:f>
              <c:numCache>
                <c:formatCode>0%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ED-4614-8320-417006043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DESTREZA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stats_1!$B$13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FF-486E-8BD4-6612E66E250A}"/>
              </c:ext>
            </c:extLst>
          </c:dPt>
          <c:dPt>
            <c:idx val="1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FF-486E-8BD4-6612E66E250A}"/>
              </c:ext>
            </c:extLst>
          </c:dPt>
          <c:dPt>
            <c:idx val="2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FF-486E-8BD4-6612E66E250A}"/>
              </c:ext>
            </c:extLst>
          </c:dPt>
          <c:dPt>
            <c:idx val="3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FF-486E-8BD4-6612E66E250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stats_1!$C$11:$F$11</c:f>
              <c:strCache>
                <c:ptCount val="4"/>
                <c:pt idx="0">
                  <c:v>0 a 3 </c:v>
                </c:pt>
                <c:pt idx="1">
                  <c:v>3 a 5</c:v>
                </c:pt>
                <c:pt idx="2">
                  <c:v>5 a 7</c:v>
                </c:pt>
                <c:pt idx="3">
                  <c:v>7 a 10</c:v>
                </c:pt>
              </c:strCache>
            </c:strRef>
          </c:cat>
          <c:val>
            <c:numRef>
              <c:f>stats_1!$C$13:$F$13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FF-486E-8BD4-6612E66E2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stats_1!$C$17:$E$17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stats_1!$C$19:$E$19</c:f>
              <c:numCache>
                <c:formatCode>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13-4327-9B2E-3E2F0D00E1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947920"/>
        <c:axId val="173948400"/>
      </c:lineChart>
      <c:catAx>
        <c:axId val="17394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948400"/>
        <c:crosses val="autoZero"/>
        <c:auto val="1"/>
        <c:lblAlgn val="ctr"/>
        <c:lblOffset val="100"/>
        <c:noMultiLvlLbl val="0"/>
      </c:catAx>
      <c:valAx>
        <c:axId val="1739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94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E-4344-8D75-4A72FD47091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E-4344-8D75-4A72FD470911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E-4344-8D75-4A72FD47091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stats_1!$C$17:$E$17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stats_1!$C$19:$E$19</c:f>
              <c:numCache>
                <c:formatCode>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D-45DD-896C-CC3FE02D8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EDADES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stats_2!$B$7</c:f>
              <c:strCache>
                <c:ptCount val="1"/>
                <c:pt idx="0">
                  <c:v>PORCENTAJE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stats_2!$C$5:$G$5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65+</c:v>
                </c:pt>
              </c:strCache>
            </c:strRef>
          </c:cat>
          <c:val>
            <c:numRef>
              <c:f>stats_2!$C$7:$G$7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0.66666666666666663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1-4BFC-A4B2-B0DEE31EF6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7892848"/>
        <c:axId val="1175488047"/>
      </c:lineChart>
      <c:catAx>
        <c:axId val="21789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5488047"/>
        <c:crosses val="autoZero"/>
        <c:auto val="1"/>
        <c:lblAlgn val="ctr"/>
        <c:lblOffset val="100"/>
        <c:noMultiLvlLbl val="0"/>
      </c:catAx>
      <c:valAx>
        <c:axId val="11754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78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DESTREZA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stats_2!$B$13</c:f>
              <c:strCache>
                <c:ptCount val="1"/>
                <c:pt idx="0">
                  <c:v>PORCENTAJE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stats_2!$C$11:$F$11</c:f>
              <c:strCache>
                <c:ptCount val="4"/>
                <c:pt idx="0">
                  <c:v>0 a 3 </c:v>
                </c:pt>
                <c:pt idx="1">
                  <c:v>3 a 5</c:v>
                </c:pt>
                <c:pt idx="2">
                  <c:v>5 a 7</c:v>
                </c:pt>
                <c:pt idx="3">
                  <c:v>7 a 10</c:v>
                </c:pt>
              </c:strCache>
            </c:strRef>
          </c:cat>
          <c:val>
            <c:numRef>
              <c:f>stats_2!$C$13:$F$13</c:f>
              <c:numCache>
                <c:formatCode>0%</c:formatCode>
                <c:ptCount val="4"/>
                <c:pt idx="0">
                  <c:v>0.33333333333333331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A-4620-8A6A-A4649103F78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7418736"/>
        <c:axId val="1407418256"/>
      </c:lineChart>
      <c:catAx>
        <c:axId val="140741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418256"/>
        <c:crosses val="autoZero"/>
        <c:auto val="1"/>
        <c:lblAlgn val="ctr"/>
        <c:lblOffset val="100"/>
        <c:noMultiLvlLbl val="0"/>
      </c:catAx>
      <c:valAx>
        <c:axId val="14074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41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</a:t>
            </a:r>
            <a:r>
              <a:rPr lang="en-US" baseline="0"/>
              <a:t> DE EDADES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stats_2!$B$7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DA-4997-BBFC-34B4C7C53E16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DA-4997-BBFC-34B4C7C53E1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DA-4997-BBFC-34B4C7C53E16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DA-4997-BBFC-34B4C7C53E16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DA-4997-BBFC-34B4C7C53E1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stats_2!$C$5:$G$5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65+</c:v>
                </c:pt>
              </c:strCache>
            </c:strRef>
          </c:cat>
          <c:val>
            <c:numRef>
              <c:f>stats_2!$C$7:$G$7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0.66666666666666663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DA-4997-BBFC-34B4C7C53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DESTREZA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stats_2!$B$13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54-4672-828E-73A332E10E42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54-4672-828E-73A332E10E42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54-4672-828E-73A332E10E42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54-4672-828E-73A332E10E4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stats_2!$C$11:$F$11</c:f>
              <c:strCache>
                <c:ptCount val="4"/>
                <c:pt idx="0">
                  <c:v>0 a 3 </c:v>
                </c:pt>
                <c:pt idx="1">
                  <c:v>3 a 5</c:v>
                </c:pt>
                <c:pt idx="2">
                  <c:v>5 a 7</c:v>
                </c:pt>
                <c:pt idx="3">
                  <c:v>7 a 10</c:v>
                </c:pt>
              </c:strCache>
            </c:strRef>
          </c:cat>
          <c:val>
            <c:numRef>
              <c:f>stats_2!$C$13:$F$13</c:f>
              <c:numCache>
                <c:formatCode>0%</c:formatCode>
                <c:ptCount val="4"/>
                <c:pt idx="0">
                  <c:v>0.33333333333333331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54-4672-828E-73A332E10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stats_2!$C$17:$E$17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stats_2!$C$19:$E$19</c:f>
              <c:numCache>
                <c:formatCode>0%</c:formatCode>
                <c:ptCount val="3"/>
                <c:pt idx="0">
                  <c:v>0.33333333333333331</c:v>
                </c:pt>
                <c:pt idx="1">
                  <c:v>0.66666666666666663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B-46E1-99EA-682098C522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947920"/>
        <c:axId val="173948400"/>
      </c:lineChart>
      <c:catAx>
        <c:axId val="17394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948400"/>
        <c:crosses val="autoZero"/>
        <c:auto val="1"/>
        <c:lblAlgn val="ctr"/>
        <c:lblOffset val="100"/>
        <c:noMultiLvlLbl val="0"/>
      </c:catAx>
      <c:valAx>
        <c:axId val="1739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94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05-4AE7-BAEF-E51981C8139A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05-4AE7-BAEF-E51981C8139A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05-4AE7-BAEF-E51981C8139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stats_2!$C$17:$E$17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stats_2!$C$19:$E$19</c:f>
              <c:numCache>
                <c:formatCode>0%</c:formatCode>
                <c:ptCount val="3"/>
                <c:pt idx="0">
                  <c:v>0.33333333333333331</c:v>
                </c:pt>
                <c:pt idx="1">
                  <c:v>0.66666666666666663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05-4AE7-BAEF-E51981C81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EDADES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stats_3!$B$7</c:f>
              <c:strCache>
                <c:ptCount val="1"/>
                <c:pt idx="0">
                  <c:v>PORCENTAJE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stats_3!$C$5:$G$5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65+</c:v>
                </c:pt>
              </c:strCache>
            </c:strRef>
          </c:cat>
          <c:val>
            <c:numRef>
              <c:f>stats_3!$C$7:$G$7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9A-410E-8892-D69A263DAF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7892848"/>
        <c:axId val="1175488047"/>
      </c:lineChart>
      <c:catAx>
        <c:axId val="21789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5488047"/>
        <c:crosses val="autoZero"/>
        <c:auto val="1"/>
        <c:lblAlgn val="ctr"/>
        <c:lblOffset val="100"/>
        <c:noMultiLvlLbl val="0"/>
      </c:catAx>
      <c:valAx>
        <c:axId val="11754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78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DESTREZA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stats_3!$B$13</c:f>
              <c:strCache>
                <c:ptCount val="1"/>
                <c:pt idx="0">
                  <c:v>PORCENTAJE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stats_3!$C$11:$F$11</c:f>
              <c:strCache>
                <c:ptCount val="4"/>
                <c:pt idx="0">
                  <c:v>0 a 3 </c:v>
                </c:pt>
                <c:pt idx="1">
                  <c:v>3 a 5</c:v>
                </c:pt>
                <c:pt idx="2">
                  <c:v>5 a 7</c:v>
                </c:pt>
                <c:pt idx="3">
                  <c:v>7 a 10</c:v>
                </c:pt>
              </c:strCache>
            </c:strRef>
          </c:cat>
          <c:val>
            <c:numRef>
              <c:f>stats_3!$C$13:$F$13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D-4816-802C-C91EB95252A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7418736"/>
        <c:axId val="1407418256"/>
      </c:lineChart>
      <c:catAx>
        <c:axId val="140741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418256"/>
        <c:crosses val="autoZero"/>
        <c:auto val="1"/>
        <c:lblAlgn val="ctr"/>
        <c:lblOffset val="100"/>
        <c:noMultiLvlLbl val="0"/>
      </c:catAx>
      <c:valAx>
        <c:axId val="14074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41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</a:t>
            </a:r>
            <a:r>
              <a:rPr lang="en-US" baseline="0"/>
              <a:t> DE EDADES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stats_3!$B$7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ED-4D02-9A95-6CAAEFA506DE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ED-4D02-9A95-6CAAEFA506D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ED-4D02-9A95-6CAAEFA506DE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ED-4D02-9A95-6CAAEFA506DE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ED-4D02-9A95-6CAAEFA506D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stats_3!$C$5:$G$5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65+</c:v>
                </c:pt>
              </c:strCache>
            </c:strRef>
          </c:cat>
          <c:val>
            <c:numRef>
              <c:f>stats_3!$C$7:$G$7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ED-4D02-9A95-6CAAEFA50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DESTREZA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stats_3!$B$13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DD-4710-B2FD-B476A9FD6270}"/>
              </c:ext>
            </c:extLst>
          </c:dPt>
          <c:dPt>
            <c:idx val="1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D-4710-B2FD-B476A9FD6270}"/>
              </c:ext>
            </c:extLst>
          </c:dPt>
          <c:dPt>
            <c:idx val="2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D-4710-B2FD-B476A9FD6270}"/>
              </c:ext>
            </c:extLst>
          </c:dPt>
          <c:dPt>
            <c:idx val="3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DD-4710-B2FD-B476A9FD627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stats_3!$C$11:$F$11</c:f>
              <c:strCache>
                <c:ptCount val="4"/>
                <c:pt idx="0">
                  <c:v>0 a 3 </c:v>
                </c:pt>
                <c:pt idx="1">
                  <c:v>3 a 5</c:v>
                </c:pt>
                <c:pt idx="2">
                  <c:v>5 a 7</c:v>
                </c:pt>
                <c:pt idx="3">
                  <c:v>7 a 10</c:v>
                </c:pt>
              </c:strCache>
            </c:strRef>
          </c:cat>
          <c:val>
            <c:numRef>
              <c:f>stats_3!$C$13:$F$13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DD-4710-B2FD-B476A9FD6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stats_3!$C$17:$E$17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stats_3!$C$19:$E$19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F-447A-8149-9F209DC862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947920"/>
        <c:axId val="173948400"/>
      </c:lineChart>
      <c:catAx>
        <c:axId val="17394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948400"/>
        <c:crosses val="autoZero"/>
        <c:auto val="1"/>
        <c:lblAlgn val="ctr"/>
        <c:lblOffset val="100"/>
        <c:noMultiLvlLbl val="0"/>
      </c:catAx>
      <c:valAx>
        <c:axId val="1739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94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5D-4CC7-AACA-CB1C84422A2D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5D-4CC7-AACA-CB1C84422A2D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5D-4CC7-AACA-CB1C84422A2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stats_3!$C$17:$E$17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stats_3!$C$19:$E$19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5D-4CC7-AACA-CB1C84422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EDADES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stats_general!$B$7</c:f>
              <c:strCache>
                <c:ptCount val="1"/>
                <c:pt idx="0">
                  <c:v>PORCENTAJE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stats_general!$C$5:$G$5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65+</c:v>
                </c:pt>
              </c:strCache>
            </c:strRef>
          </c:cat>
          <c:val>
            <c:numRef>
              <c:f>stats_general!$C$7:$G$7</c:f>
              <c:numCache>
                <c:formatCode>0%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0.2</c:v>
                </c:pt>
                <c:pt idx="3">
                  <c:v>0.4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7-48E9-AB88-2C6902458C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7892848"/>
        <c:axId val="1175488047"/>
      </c:lineChart>
      <c:catAx>
        <c:axId val="21789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5488047"/>
        <c:crosses val="autoZero"/>
        <c:auto val="1"/>
        <c:lblAlgn val="ctr"/>
        <c:lblOffset val="100"/>
        <c:noMultiLvlLbl val="0"/>
      </c:catAx>
      <c:valAx>
        <c:axId val="11754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78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DESTREZA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stats_general!$J$7</c:f>
              <c:strCache>
                <c:ptCount val="1"/>
                <c:pt idx="0">
                  <c:v>PORCENTAJE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stats_general!$K$5:$N$5</c:f>
              <c:strCache>
                <c:ptCount val="4"/>
                <c:pt idx="0">
                  <c:v>0 a 3 </c:v>
                </c:pt>
                <c:pt idx="1">
                  <c:v>3 a 5</c:v>
                </c:pt>
                <c:pt idx="2">
                  <c:v>5 a 7</c:v>
                </c:pt>
                <c:pt idx="3">
                  <c:v>7 a 10</c:v>
                </c:pt>
              </c:strCache>
            </c:strRef>
          </c:cat>
          <c:val>
            <c:numRef>
              <c:f>stats_general!$K$7:$N$7</c:f>
              <c:numCache>
                <c:formatCode>0%</c:formatCode>
                <c:ptCount val="4"/>
                <c:pt idx="0">
                  <c:v>0.2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2-474D-89C4-5DA565888E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7418736"/>
        <c:axId val="1407418256"/>
      </c:lineChart>
      <c:catAx>
        <c:axId val="140741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418256"/>
        <c:crosses val="autoZero"/>
        <c:auto val="1"/>
        <c:lblAlgn val="ctr"/>
        <c:lblOffset val="100"/>
        <c:noMultiLvlLbl val="0"/>
      </c:catAx>
      <c:valAx>
        <c:axId val="14074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41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</a:t>
            </a:r>
            <a:r>
              <a:rPr lang="en-US" baseline="0"/>
              <a:t> DE EDADES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stats_general!$B$7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74-4D59-889C-5DE364F3E0D3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74-4D59-889C-5DE364F3E0D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74-4D59-889C-5DE364F3E0D3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74-4D59-889C-5DE364F3E0D3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74-4D59-889C-5DE364F3E0D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stats_general!$C$5:$G$5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65+</c:v>
                </c:pt>
              </c:strCache>
            </c:strRef>
          </c:cat>
          <c:val>
            <c:numRef>
              <c:f>stats_general!$C$7:$G$7</c:f>
              <c:numCache>
                <c:formatCode>0%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0.2</c:v>
                </c:pt>
                <c:pt idx="3">
                  <c:v>0.4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74-4D59-889C-5DE364F3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RANGOS DE DESTREZA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stats_general!$J$7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45-4213-B072-4D0311FCA897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45-4213-B072-4D0311FCA897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45-4213-B072-4D0311FCA897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45-4213-B072-4D0311FCA89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stats_general!$K$5:$N$5</c:f>
              <c:strCache>
                <c:ptCount val="4"/>
                <c:pt idx="0">
                  <c:v>0 a 3 </c:v>
                </c:pt>
                <c:pt idx="1">
                  <c:v>3 a 5</c:v>
                </c:pt>
                <c:pt idx="2">
                  <c:v>5 a 7</c:v>
                </c:pt>
                <c:pt idx="3">
                  <c:v>7 a 10</c:v>
                </c:pt>
              </c:strCache>
            </c:strRef>
          </c:cat>
          <c:val>
            <c:numRef>
              <c:f>stats_general!$K$7:$N$7</c:f>
              <c:numCache>
                <c:formatCode>0%</c:formatCode>
                <c:ptCount val="4"/>
                <c:pt idx="0">
                  <c:v>0.2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45-4213-B072-4D0311FCA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stats_general!$C$11:$E$11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stats_general!$C$13:$E$13</c:f>
              <c:numCache>
                <c:formatCode>0%</c:formatCode>
                <c:ptCount val="3"/>
                <c:pt idx="0">
                  <c:v>0.2</c:v>
                </c:pt>
                <c:pt idx="1">
                  <c:v>0.8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2-4D46-BD27-A6A1AEBBD5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947920"/>
        <c:axId val="173948400"/>
      </c:lineChart>
      <c:catAx>
        <c:axId val="17394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948400"/>
        <c:crosses val="autoZero"/>
        <c:auto val="1"/>
        <c:lblAlgn val="ctr"/>
        <c:lblOffset val="100"/>
        <c:noMultiLvlLbl val="0"/>
      </c:catAx>
      <c:valAx>
        <c:axId val="1739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94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3F-445D-9B9B-02519B272010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3F-445D-9B9B-02519B272010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3F-445D-9B9B-02519B27201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stats_general!$C$11:$E$11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stats_general!$C$13:$E$13</c:f>
              <c:numCache>
                <c:formatCode>0%</c:formatCode>
                <c:ptCount val="3"/>
                <c:pt idx="0">
                  <c:v>0.2</c:v>
                </c:pt>
                <c:pt idx="1">
                  <c:v>0.8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3F-445D-9B9B-02519B272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MEDIO POR TANDA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stats_general!$B$21</c:f>
              <c:strCache>
                <c:ptCount val="1"/>
                <c:pt idx="0">
                  <c:v>TIEMPO 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stats_general!$C$17:$J$17</c15:sqref>
                  </c15:fullRef>
                </c:ext>
              </c:extLst>
              <c:f>(stats_general!$C$17,stats_general!$E$17,stats_general!$H$17)</c:f>
              <c:strCache>
                <c:ptCount val="3"/>
                <c:pt idx="0">
                  <c:v>Tanda 1</c:v>
                </c:pt>
                <c:pt idx="1">
                  <c:v>Tanda 2</c:v>
                </c:pt>
                <c:pt idx="2">
                  <c:v>Tanda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stats_general!$C$21:$J$21</c15:sqref>
                  </c15:fullRef>
                </c:ext>
              </c:extLst>
              <c:f>(stats_general!$C$21,stats_general!$E$21,stats_general!$H$21)</c:f>
              <c:numCache>
                <c:formatCode>General</c:formatCode>
                <c:ptCount val="3"/>
                <c:pt idx="0">
                  <c:v>39.5</c:v>
                </c:pt>
                <c:pt idx="1">
                  <c:v>223.66666666666666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4-47B4-9FC9-F84ECAC896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5323424"/>
        <c:axId val="355321024"/>
      </c:lineChart>
      <c:catAx>
        <c:axId val="35532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5321024"/>
        <c:crosses val="autoZero"/>
        <c:auto val="1"/>
        <c:lblAlgn val="ctr"/>
        <c:lblOffset val="100"/>
        <c:noMultiLvlLbl val="0"/>
      </c:catAx>
      <c:valAx>
        <c:axId val="3553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532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PERICIA-TIEMPO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stats_general!$B$26</c:f>
              <c:strCache>
                <c:ptCount val="1"/>
                <c:pt idx="0">
                  <c:v>PERICIA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stats_general!$C$26:$J$26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0.6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9-42E2-AE64-250F8729C4E6}"/>
            </c:ext>
          </c:extLst>
        </c:ser>
        <c:ser>
          <c:idx val="2"/>
          <c:order val="2"/>
          <c:tx>
            <c:strRef>
              <c:f>stats_general!$B$27</c:f>
              <c:strCache>
                <c:ptCount val="1"/>
                <c:pt idx="0">
                  <c:v>TIEMPO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stats_general!$C$27:$J$27</c:f>
              <c:numCache>
                <c:formatCode>General</c:formatCode>
                <c:ptCount val="8"/>
                <c:pt idx="0">
                  <c:v>0.10574018126888217</c:v>
                </c:pt>
                <c:pt idx="1">
                  <c:v>0.13293051359516617</c:v>
                </c:pt>
                <c:pt idx="2">
                  <c:v>0.38066465256797583</c:v>
                </c:pt>
                <c:pt idx="3">
                  <c:v>0.6465256797583081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9-42E2-AE64-250F8729C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516320"/>
        <c:axId val="1078504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stats_general!$B$25</c15:sqref>
                        </c15:formulaRef>
                      </c:ext>
                    </c:extLst>
                    <c:strCache>
                      <c:ptCount val="1"/>
                      <c:pt idx="0">
                        <c:v>USUARIO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stats_general!$C$25:$J$25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2F9-42E2-AE64-250F8729C4E6}"/>
                  </c:ext>
                </c:extLst>
              </c15:ser>
            </c15:filteredLineSeries>
          </c:ext>
        </c:extLst>
      </c:lineChart>
      <c:catAx>
        <c:axId val="357516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USUARIO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850432"/>
        <c:crosses val="autoZero"/>
        <c:auto val="1"/>
        <c:lblAlgn val="ctr"/>
        <c:lblOffset val="100"/>
        <c:noMultiLvlLbl val="0"/>
      </c:catAx>
      <c:valAx>
        <c:axId val="10785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751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3742</xdr:colOff>
      <xdr:row>2</xdr:row>
      <xdr:rowOff>194807</xdr:rowOff>
    </xdr:from>
    <xdr:to>
      <xdr:col>13</xdr:col>
      <xdr:colOff>1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1CF4DD-E763-4FB4-B840-1A9F13556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3741</xdr:colOff>
      <xdr:row>18</xdr:row>
      <xdr:rowOff>3976</xdr:rowOff>
    </xdr:from>
    <xdr:to>
      <xdr:col>13</xdr:col>
      <xdr:colOff>0</xdr:colOff>
      <xdr:row>32</xdr:row>
      <xdr:rowOff>7951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459747-5C3B-4509-8D9C-B9A4B07F4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1168</xdr:colOff>
      <xdr:row>3</xdr:row>
      <xdr:rowOff>3508</xdr:rowOff>
    </xdr:from>
    <xdr:to>
      <xdr:col>17</xdr:col>
      <xdr:colOff>1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DAC4B6-2599-4A25-B2E6-D606EE296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1168</xdr:colOff>
      <xdr:row>18</xdr:row>
      <xdr:rowOff>3508</xdr:rowOff>
    </xdr:from>
    <xdr:to>
      <xdr:col>17</xdr:col>
      <xdr:colOff>1</xdr:colOff>
      <xdr:row>32</xdr:row>
      <xdr:rowOff>9354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CDDEE1-667F-4C26-98EB-BD8466AA3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1168</xdr:colOff>
      <xdr:row>33</xdr:row>
      <xdr:rowOff>3507</xdr:rowOff>
    </xdr:from>
    <xdr:to>
      <xdr:col>13</xdr:col>
      <xdr:colOff>0</xdr:colOff>
      <xdr:row>43</xdr:row>
      <xdr:rowOff>187089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D950855-C316-0543-2BFB-C66D1C5FF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1170</xdr:colOff>
      <xdr:row>33</xdr:row>
      <xdr:rowOff>3507</xdr:rowOff>
    </xdr:from>
    <xdr:to>
      <xdr:col>17</xdr:col>
      <xdr:colOff>1</xdr:colOff>
      <xdr:row>44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93FEF24-BF7A-6219-DFBA-078785C72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3742</xdr:colOff>
      <xdr:row>2</xdr:row>
      <xdr:rowOff>194807</xdr:rowOff>
    </xdr:from>
    <xdr:to>
      <xdr:col>13</xdr:col>
      <xdr:colOff>1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FEA1CE-83FB-4BCF-B8BD-1048159D2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3741</xdr:colOff>
      <xdr:row>18</xdr:row>
      <xdr:rowOff>3976</xdr:rowOff>
    </xdr:from>
    <xdr:to>
      <xdr:col>13</xdr:col>
      <xdr:colOff>0</xdr:colOff>
      <xdr:row>32</xdr:row>
      <xdr:rowOff>7951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10D494-42AE-447F-83E0-88817B593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1168</xdr:colOff>
      <xdr:row>3</xdr:row>
      <xdr:rowOff>3508</xdr:rowOff>
    </xdr:from>
    <xdr:to>
      <xdr:col>17</xdr:col>
      <xdr:colOff>1</xdr:colOff>
      <xdr:row>17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AC39A3-7887-49AD-A407-D77C62CA4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1168</xdr:colOff>
      <xdr:row>18</xdr:row>
      <xdr:rowOff>3508</xdr:rowOff>
    </xdr:from>
    <xdr:to>
      <xdr:col>17</xdr:col>
      <xdr:colOff>1</xdr:colOff>
      <xdr:row>32</xdr:row>
      <xdr:rowOff>9354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1272B41-3D7A-4C3A-AEFF-C42FF1749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1168</xdr:colOff>
      <xdr:row>33</xdr:row>
      <xdr:rowOff>3507</xdr:rowOff>
    </xdr:from>
    <xdr:to>
      <xdr:col>13</xdr:col>
      <xdr:colOff>0</xdr:colOff>
      <xdr:row>43</xdr:row>
      <xdr:rowOff>187089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9585321-C135-4670-9F48-448B81523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1170</xdr:colOff>
      <xdr:row>33</xdr:row>
      <xdr:rowOff>3507</xdr:rowOff>
    </xdr:from>
    <xdr:to>
      <xdr:col>17</xdr:col>
      <xdr:colOff>1</xdr:colOff>
      <xdr:row>44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15F2C55-2106-4F18-84B7-E7F2E30B5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3742</xdr:colOff>
      <xdr:row>2</xdr:row>
      <xdr:rowOff>194807</xdr:rowOff>
    </xdr:from>
    <xdr:to>
      <xdr:col>13</xdr:col>
      <xdr:colOff>1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3BA995-9FD5-4D0C-88C0-5B7226D8D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3741</xdr:colOff>
      <xdr:row>18</xdr:row>
      <xdr:rowOff>3976</xdr:rowOff>
    </xdr:from>
    <xdr:to>
      <xdr:col>13</xdr:col>
      <xdr:colOff>0</xdr:colOff>
      <xdr:row>32</xdr:row>
      <xdr:rowOff>7951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E65DD8-79FE-4182-A97F-598E1CC43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1168</xdr:colOff>
      <xdr:row>3</xdr:row>
      <xdr:rowOff>3508</xdr:rowOff>
    </xdr:from>
    <xdr:to>
      <xdr:col>17</xdr:col>
      <xdr:colOff>1</xdr:colOff>
      <xdr:row>17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308A819-0854-442C-8A10-36CD92B24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1168</xdr:colOff>
      <xdr:row>18</xdr:row>
      <xdr:rowOff>3508</xdr:rowOff>
    </xdr:from>
    <xdr:to>
      <xdr:col>17</xdr:col>
      <xdr:colOff>1</xdr:colOff>
      <xdr:row>32</xdr:row>
      <xdr:rowOff>9354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6EAA76-B76B-4954-B7B9-08337E8D5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1168</xdr:colOff>
      <xdr:row>33</xdr:row>
      <xdr:rowOff>3507</xdr:rowOff>
    </xdr:from>
    <xdr:to>
      <xdr:col>13</xdr:col>
      <xdr:colOff>0</xdr:colOff>
      <xdr:row>43</xdr:row>
      <xdr:rowOff>187089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64F1E88-8489-4E80-9395-5A04E3C64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1170</xdr:colOff>
      <xdr:row>33</xdr:row>
      <xdr:rowOff>3507</xdr:rowOff>
    </xdr:from>
    <xdr:to>
      <xdr:col>17</xdr:col>
      <xdr:colOff>1</xdr:colOff>
      <xdr:row>44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160D050-4342-4114-A8E2-DDBAD86D3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3742</xdr:colOff>
      <xdr:row>4</xdr:row>
      <xdr:rowOff>194807</xdr:rowOff>
    </xdr:from>
    <xdr:to>
      <xdr:col>20</xdr:col>
      <xdr:colOff>1</xdr:colOff>
      <xdr:row>19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905899-812C-46EE-987F-C8F1B61B1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3741</xdr:colOff>
      <xdr:row>20</xdr:row>
      <xdr:rowOff>3976</xdr:rowOff>
    </xdr:from>
    <xdr:to>
      <xdr:col>20</xdr:col>
      <xdr:colOff>0</xdr:colOff>
      <xdr:row>34</xdr:row>
      <xdr:rowOff>7951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35BF8F-2F09-4F6D-92B5-0A1EBBCCD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1168</xdr:colOff>
      <xdr:row>4</xdr:row>
      <xdr:rowOff>193114</xdr:rowOff>
    </xdr:from>
    <xdr:to>
      <xdr:col>24</xdr:col>
      <xdr:colOff>1</xdr:colOff>
      <xdr:row>19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C48037-0F1E-4FE0-A75F-5C7378500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1168</xdr:colOff>
      <xdr:row>20</xdr:row>
      <xdr:rowOff>3508</xdr:rowOff>
    </xdr:from>
    <xdr:to>
      <xdr:col>24</xdr:col>
      <xdr:colOff>1</xdr:colOff>
      <xdr:row>34</xdr:row>
      <xdr:rowOff>9354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68FF9F9-6D7C-4F3D-AB91-1552949BB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267904</xdr:colOff>
      <xdr:row>5</xdr:row>
      <xdr:rowOff>8137</xdr:rowOff>
    </xdr:from>
    <xdr:to>
      <xdr:col>28</xdr:col>
      <xdr:colOff>825712</xdr:colOff>
      <xdr:row>19</xdr:row>
      <xdr:rowOff>6116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9B8F986-38C1-48A2-881D-168B9A228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657</xdr:colOff>
      <xdr:row>5</xdr:row>
      <xdr:rowOff>9022</xdr:rowOff>
    </xdr:from>
    <xdr:to>
      <xdr:col>32</xdr:col>
      <xdr:colOff>825199</xdr:colOff>
      <xdr:row>19</xdr:row>
      <xdr:rowOff>4785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641405C-8503-4C9A-9DCD-121D4582B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7285</xdr:colOff>
      <xdr:row>20</xdr:row>
      <xdr:rowOff>6117</xdr:rowOff>
    </xdr:from>
    <xdr:to>
      <xdr:col>29</xdr:col>
      <xdr:colOff>6117</xdr:colOff>
      <xdr:row>34</xdr:row>
      <xdr:rowOff>6116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154DD9F-D4E3-7E56-DB48-70BCD3D2D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6769</xdr:colOff>
      <xdr:row>20</xdr:row>
      <xdr:rowOff>6333</xdr:rowOff>
    </xdr:from>
    <xdr:to>
      <xdr:col>33</xdr:col>
      <xdr:colOff>0</xdr:colOff>
      <xdr:row>34</xdr:row>
      <xdr:rowOff>6117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209ECAF-E05A-6FFE-4F87-1ED7DB0E5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614D687B-0FE7-423A-876C-32214074EDDA}" autoFormatId="16" applyNumberFormats="0" applyBorderFormats="0" applyFontFormats="0" applyPatternFormats="0" applyAlignmentFormats="0" applyWidthHeightFormats="0">
  <queryTableRefresh nextId="6">
    <queryTableFields count="5">
      <queryTableField id="1" name="id_resultado" tableColumnId="1"/>
      <queryTableField id="2" name="id_usuario" tableColumnId="2"/>
      <queryTableField id="3" name="id_dispositivo" tableColumnId="3"/>
      <queryTableField id="4" name="tiempo" tableColumnId="4"/>
      <queryTableField id="5" name="valo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84387DAA-7C30-4BC9-A9B6-0231C8586145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id_usuario" tableColumnId="1"/>
      <queryTableField id="2" name="profesion" tableColumnId="2"/>
      <queryTableField id="3" name="edad" tableColumnId="3"/>
      <queryTableField id="4" name="genero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0A11DA-3DC4-4479-93A8-B2EB74B38953}" name="uo288066_db_resultados" displayName="uo288066_db_resultados" ref="A1:E6" tableType="queryTable" totalsRowShown="0">
  <autoFilter ref="A1:E6" xr:uid="{090A11DA-3DC4-4479-93A8-B2EB74B38953}"/>
  <tableColumns count="5">
    <tableColumn id="1" xr3:uid="{2DA7FD6E-7A96-4693-BF15-6F33DB60B921}" uniqueName="1" name="id_resultado" queryTableFieldId="1"/>
    <tableColumn id="2" xr3:uid="{9645DF9B-B78C-4364-850A-2E433C1B17C6}" uniqueName="2" name="id_usuario" queryTableFieldId="2"/>
    <tableColumn id="3" xr3:uid="{4AFA387F-443A-4D2E-820B-A9C08677E951}" uniqueName="3" name="id_dispositivo" queryTableFieldId="3"/>
    <tableColumn id="4" xr3:uid="{1542E0B4-12AD-4167-B334-CDA4EB46E7B4}" uniqueName="4" name="tiempo" queryTableFieldId="4"/>
    <tableColumn id="5" xr3:uid="{D56766A5-8831-4AA8-9A3C-1836C2C767C0}" uniqueName="5" name="valoracion" queryTableFieldId="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EDCFA-7890-4270-AD46-DD0F0B2106D8}" name="uo288066_db_usuarios" displayName="uo288066_db_usuarios" ref="A1:E7" tableType="queryTable" totalsRowShown="0">
  <autoFilter ref="A1:E7" xr:uid="{440EDCFA-7890-4270-AD46-DD0F0B2106D8}"/>
  <tableColumns count="5">
    <tableColumn id="1" xr3:uid="{B6D5A063-AFA8-4401-B707-6013B3A55081}" uniqueName="1" name="id_usuario" queryTableFieldId="1"/>
    <tableColumn id="2" xr3:uid="{70EDC26F-AF9E-4370-A432-476F281F9C80}" uniqueName="2" name="profesion" queryTableFieldId="2" dataDxfId="1"/>
    <tableColumn id="3" xr3:uid="{4C5B0262-3270-4665-9510-093AE3D041C5}" uniqueName="3" name="edad" queryTableFieldId="3"/>
    <tableColumn id="4" xr3:uid="{A37071F3-E0FB-4D2C-A65E-C63E32704222}" uniqueName="4" name="genero" queryTableFieldId="4" dataDxfId="0"/>
    <tableColumn id="5" xr3:uid="{4C1E81B7-6069-4B14-BD60-5F1A9A861AA6}" uniqueName="5" name="destreza" queryTableFieldId="5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5FF4-9EB2-46CA-A15D-A2D625484CEA}">
  <dimension ref="A1:E6"/>
  <sheetViews>
    <sheetView workbookViewId="0">
      <selection activeCell="F7" sqref="F7"/>
    </sheetView>
  </sheetViews>
  <sheetFormatPr baseColWidth="10" defaultRowHeight="15.05" x14ac:dyDescent="0.3"/>
  <cols>
    <col min="1" max="1" width="13.44140625" bestFit="1" customWidth="1"/>
    <col min="2" max="2" width="11.6640625" bestFit="1" customWidth="1"/>
    <col min="3" max="3" width="14.77734375" bestFit="1" customWidth="1"/>
    <col min="4" max="4" width="9.109375" bestFit="1" customWidth="1"/>
    <col min="5" max="5" width="11.77734375" bestFit="1" customWidth="1"/>
  </cols>
  <sheetData>
    <row r="1" spans="1:5" x14ac:dyDescent="0.3">
      <c r="A1" t="s">
        <v>30</v>
      </c>
      <c r="B1" t="s">
        <v>21</v>
      </c>
      <c r="C1" t="s">
        <v>0</v>
      </c>
      <c r="D1" t="s">
        <v>31</v>
      </c>
      <c r="E1" t="s">
        <v>32</v>
      </c>
    </row>
    <row r="2" spans="1:5" x14ac:dyDescent="0.3">
      <c r="A2">
        <v>1</v>
      </c>
      <c r="B2">
        <v>1</v>
      </c>
      <c r="C2">
        <v>1</v>
      </c>
      <c r="D2">
        <v>35</v>
      </c>
      <c r="E2">
        <v>10</v>
      </c>
    </row>
    <row r="3" spans="1:5" x14ac:dyDescent="0.3">
      <c r="A3">
        <v>2</v>
      </c>
      <c r="B3">
        <v>2</v>
      </c>
      <c r="C3">
        <v>2</v>
      </c>
      <c r="D3">
        <v>44</v>
      </c>
      <c r="E3">
        <v>10</v>
      </c>
    </row>
    <row r="4" spans="1:5" x14ac:dyDescent="0.3">
      <c r="A4">
        <v>3</v>
      </c>
      <c r="B4">
        <v>3</v>
      </c>
      <c r="C4">
        <v>1</v>
      </c>
      <c r="D4">
        <v>126</v>
      </c>
      <c r="E4">
        <v>9</v>
      </c>
    </row>
    <row r="5" spans="1:5" x14ac:dyDescent="0.3">
      <c r="A5">
        <v>4</v>
      </c>
      <c r="B5">
        <v>4</v>
      </c>
      <c r="C5">
        <v>3</v>
      </c>
      <c r="D5">
        <v>214</v>
      </c>
      <c r="E5">
        <v>9</v>
      </c>
    </row>
    <row r="6" spans="1:5" x14ac:dyDescent="0.3">
      <c r="A6">
        <v>5</v>
      </c>
      <c r="B6">
        <v>5</v>
      </c>
      <c r="C6">
        <v>2</v>
      </c>
      <c r="D6">
        <v>331</v>
      </c>
      <c r="E6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B391-5468-487D-AA61-0CD33665D67E}">
  <dimension ref="A1:E7"/>
  <sheetViews>
    <sheetView workbookViewId="0">
      <selection activeCell="A7" sqref="A7"/>
    </sheetView>
  </sheetViews>
  <sheetFormatPr baseColWidth="10" defaultRowHeight="15.05" x14ac:dyDescent="0.3"/>
  <cols>
    <col min="1" max="1" width="11.6640625" bestFit="1" customWidth="1"/>
    <col min="2" max="2" width="19.109375" bestFit="1" customWidth="1"/>
    <col min="3" max="3" width="7.33203125" bestFit="1" customWidth="1"/>
    <col min="4" max="4" width="9.21875" bestFit="1" customWidth="1"/>
  </cols>
  <sheetData>
    <row r="1" spans="1:5" x14ac:dyDescent="0.3">
      <c r="A1" t="s">
        <v>21</v>
      </c>
      <c r="B1" t="s">
        <v>22</v>
      </c>
      <c r="C1" t="s">
        <v>23</v>
      </c>
      <c r="D1" t="s">
        <v>24</v>
      </c>
      <c r="E1" t="s">
        <v>34</v>
      </c>
    </row>
    <row r="2" spans="1:5" x14ac:dyDescent="0.3">
      <c r="A2">
        <v>1</v>
      </c>
      <c r="B2" t="s">
        <v>25</v>
      </c>
      <c r="C2">
        <v>22</v>
      </c>
      <c r="D2" t="s">
        <v>26</v>
      </c>
      <c r="E2">
        <v>10</v>
      </c>
    </row>
    <row r="3" spans="1:5" x14ac:dyDescent="0.3">
      <c r="A3">
        <v>2</v>
      </c>
      <c r="B3" t="s">
        <v>25</v>
      </c>
      <c r="C3">
        <v>22</v>
      </c>
      <c r="D3" t="s">
        <v>26</v>
      </c>
      <c r="E3">
        <v>10</v>
      </c>
    </row>
    <row r="4" spans="1:5" x14ac:dyDescent="0.3">
      <c r="A4">
        <v>3</v>
      </c>
      <c r="B4" t="s">
        <v>27</v>
      </c>
      <c r="C4">
        <v>57</v>
      </c>
      <c r="D4" t="s">
        <v>28</v>
      </c>
      <c r="E4">
        <v>8</v>
      </c>
    </row>
    <row r="5" spans="1:5" x14ac:dyDescent="0.3">
      <c r="A5">
        <v>4</v>
      </c>
      <c r="B5" t="s">
        <v>29</v>
      </c>
      <c r="C5">
        <v>35</v>
      </c>
      <c r="D5" t="s">
        <v>26</v>
      </c>
      <c r="E5">
        <v>6</v>
      </c>
    </row>
    <row r="6" spans="1:5" x14ac:dyDescent="0.3">
      <c r="A6">
        <v>5</v>
      </c>
      <c r="B6" s="103" t="s">
        <v>45</v>
      </c>
      <c r="C6">
        <v>62</v>
      </c>
      <c r="D6" s="103" t="s">
        <v>26</v>
      </c>
      <c r="E6">
        <v>3</v>
      </c>
    </row>
    <row r="7" spans="1:5" x14ac:dyDescent="0.3">
      <c r="B7" s="103"/>
      <c r="D7" s="10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ADC7-E980-4738-9823-534CA85CF0F9}">
  <dimension ref="B1:R45"/>
  <sheetViews>
    <sheetView topLeftCell="A12" zoomScale="70" zoomScaleNormal="70" workbookViewId="0">
      <selection activeCell="C24" sqref="C24"/>
    </sheetView>
  </sheetViews>
  <sheetFormatPr baseColWidth="10" defaultRowHeight="15.05" x14ac:dyDescent="0.3"/>
  <cols>
    <col min="8" max="8" width="11.5546875" customWidth="1"/>
    <col min="9" max="9" width="3.88671875" customWidth="1"/>
    <col min="18" max="18" width="3.88671875" customWidth="1"/>
  </cols>
  <sheetData>
    <row r="1" spans="2:18" ht="15.65" thickBot="1" x14ac:dyDescent="0.35"/>
    <row r="2" spans="2:18" ht="15.65" thickBot="1" x14ac:dyDescent="0.35">
      <c r="B2" s="9" t="s">
        <v>1</v>
      </c>
      <c r="C2" s="10">
        <f>AVERAGE(uo288066_db_usuarios!C2:C3)</f>
        <v>22</v>
      </c>
      <c r="I2" s="79" t="s">
        <v>20</v>
      </c>
      <c r="J2" s="80"/>
      <c r="K2" s="81"/>
      <c r="L2" s="29"/>
      <c r="M2" s="29"/>
      <c r="N2" s="29"/>
      <c r="O2" s="29"/>
      <c r="P2" s="29"/>
      <c r="Q2" s="29"/>
      <c r="R2" s="30"/>
    </row>
    <row r="3" spans="2:18" ht="15.65" thickBot="1" x14ac:dyDescent="0.35">
      <c r="I3" s="31"/>
      <c r="J3" s="32"/>
      <c r="K3" s="32"/>
      <c r="L3" s="32"/>
      <c r="M3" s="32"/>
      <c r="N3" s="32"/>
      <c r="O3" s="32"/>
      <c r="P3" s="32"/>
      <c r="Q3" s="32"/>
      <c r="R3" s="33"/>
    </row>
    <row r="4" spans="2:18" ht="15.65" thickBot="1" x14ac:dyDescent="0.35">
      <c r="C4" s="70" t="s">
        <v>2</v>
      </c>
      <c r="D4" s="71"/>
      <c r="E4" s="71"/>
      <c r="F4" s="71"/>
      <c r="G4" s="72"/>
      <c r="I4" s="31"/>
      <c r="J4" s="32"/>
      <c r="K4" s="32"/>
      <c r="L4" s="32"/>
      <c r="M4" s="32"/>
      <c r="N4" s="32"/>
      <c r="O4" s="32"/>
      <c r="P4" s="32"/>
      <c r="Q4" s="32"/>
      <c r="R4" s="33"/>
    </row>
    <row r="5" spans="2:18" ht="15.65" thickBot="1" x14ac:dyDescent="0.35">
      <c r="B5" s="1" t="s">
        <v>8</v>
      </c>
      <c r="C5" s="3" t="s">
        <v>3</v>
      </c>
      <c r="D5" s="4" t="s">
        <v>4</v>
      </c>
      <c r="E5" s="4" t="s">
        <v>5</v>
      </c>
      <c r="F5" s="4" t="s">
        <v>6</v>
      </c>
      <c r="G5" s="2" t="s">
        <v>7</v>
      </c>
      <c r="I5" s="31"/>
      <c r="J5" s="32"/>
      <c r="K5" s="32"/>
      <c r="L5" s="32"/>
      <c r="M5" s="32"/>
      <c r="N5" s="32"/>
      <c r="O5" s="32"/>
      <c r="P5" s="32"/>
      <c r="Q5" s="32"/>
      <c r="R5" s="33"/>
    </row>
    <row r="6" spans="2:18" ht="15.65" thickBot="1" x14ac:dyDescent="0.35">
      <c r="B6" s="43" t="s">
        <v>9</v>
      </c>
      <c r="C6" s="17">
        <f>COUNTIF(uo288066_db_usuarios!C2:C3,"&lt;=20")</f>
        <v>0</v>
      </c>
      <c r="D6" s="18">
        <f>COUNTIFS(uo288066_db_usuarios!C2:C3,"&gt;20", uo288066_db_usuarios!C2:C3,"&lt;=30")</f>
        <v>2</v>
      </c>
      <c r="E6">
        <f>COUNTIFS(uo288066_db_usuarios!C2:C3,"&gt;30", uo288066_db_usuarios!C2:C3,"&lt;=40")</f>
        <v>0</v>
      </c>
      <c r="F6" s="18">
        <f>COUNTIFS(uo288066_db_usuarios!C2:C3,"&gt;40", uo288066_db_usuarios!C2:C3,"&lt;=65")</f>
        <v>0</v>
      </c>
      <c r="G6" s="19">
        <f>COUNTIF(uo288066_db_usuarios!C2:C3,"&gt;65")</f>
        <v>0</v>
      </c>
      <c r="I6" s="31"/>
      <c r="J6" s="32"/>
      <c r="K6" s="32"/>
      <c r="L6" s="32"/>
      <c r="M6" s="32"/>
      <c r="N6" s="32"/>
      <c r="O6" s="32"/>
      <c r="P6" s="32"/>
      <c r="Q6" s="32"/>
      <c r="R6" s="33"/>
    </row>
    <row r="7" spans="2:18" ht="15.65" thickBot="1" x14ac:dyDescent="0.35">
      <c r="B7" s="1" t="s">
        <v>10</v>
      </c>
      <c r="C7" s="26">
        <f t="shared" ref="C7:F7" si="0" xml:space="preserve"> C6/($C$6+$D$6+$E$6+$F$6+$G$6)</f>
        <v>0</v>
      </c>
      <c r="D7" s="44">
        <f t="shared" si="0"/>
        <v>1</v>
      </c>
      <c r="E7" s="44">
        <f t="shared" si="0"/>
        <v>0</v>
      </c>
      <c r="F7" s="44">
        <f t="shared" si="0"/>
        <v>0</v>
      </c>
      <c r="G7" s="44">
        <f xml:space="preserve"> G6/($C$6+$D$6+$E$6+$F$6+$G$6)</f>
        <v>0</v>
      </c>
      <c r="I7" s="31"/>
      <c r="J7" s="32"/>
      <c r="K7" s="32"/>
      <c r="L7" s="32"/>
      <c r="M7" s="32"/>
      <c r="N7" s="32"/>
      <c r="O7" s="32"/>
      <c r="P7" s="32"/>
      <c r="Q7" s="32"/>
      <c r="R7" s="33"/>
    </row>
    <row r="8" spans="2:18" x14ac:dyDescent="0.3">
      <c r="I8" s="31"/>
      <c r="J8" s="32"/>
      <c r="K8" s="32"/>
      <c r="L8" s="32"/>
      <c r="M8" s="32"/>
      <c r="N8" s="32"/>
      <c r="O8" s="32"/>
      <c r="P8" s="32"/>
      <c r="Q8" s="32"/>
      <c r="R8" s="33"/>
    </row>
    <row r="9" spans="2:18" ht="15.65" thickBot="1" x14ac:dyDescent="0.35">
      <c r="I9" s="31"/>
      <c r="J9" s="32"/>
      <c r="K9" s="32"/>
      <c r="L9" s="32"/>
      <c r="M9" s="32"/>
      <c r="N9" s="32"/>
      <c r="O9" s="32"/>
      <c r="P9" s="32"/>
      <c r="Q9" s="32"/>
      <c r="R9" s="33"/>
    </row>
    <row r="10" spans="2:18" ht="15.65" thickBot="1" x14ac:dyDescent="0.35">
      <c r="C10" s="73" t="s">
        <v>11</v>
      </c>
      <c r="D10" s="74"/>
      <c r="E10" s="74"/>
      <c r="F10" s="75"/>
      <c r="I10" s="31"/>
      <c r="J10" s="32"/>
      <c r="K10" s="32"/>
      <c r="L10" s="32"/>
      <c r="M10" s="32"/>
      <c r="N10" s="32"/>
      <c r="O10" s="32"/>
      <c r="P10" s="32"/>
      <c r="Q10" s="32"/>
      <c r="R10" s="33"/>
    </row>
    <row r="11" spans="2:18" ht="15.65" thickBot="1" x14ac:dyDescent="0.35">
      <c r="B11" s="5" t="s">
        <v>8</v>
      </c>
      <c r="C11" s="40" t="s">
        <v>15</v>
      </c>
      <c r="D11" s="6" t="s">
        <v>12</v>
      </c>
      <c r="E11" s="7" t="s">
        <v>13</v>
      </c>
      <c r="F11" s="8" t="s">
        <v>14</v>
      </c>
      <c r="I11" s="31"/>
      <c r="J11" s="32"/>
      <c r="K11" s="32"/>
      <c r="L11" s="32"/>
      <c r="M11" s="32"/>
      <c r="N11" s="32"/>
      <c r="O11" s="32"/>
      <c r="P11" s="32"/>
      <c r="Q11" s="32"/>
      <c r="R11" s="33"/>
    </row>
    <row r="12" spans="2:18" ht="15.65" thickBot="1" x14ac:dyDescent="0.35">
      <c r="B12" s="5" t="s">
        <v>9</v>
      </c>
      <c r="C12" s="41">
        <f>COUNTIF(uo288066_db_usuarios!E2:E3,"&lt;=3")</f>
        <v>0</v>
      </c>
      <c r="D12" s="15">
        <f>COUNTIFS(uo288066_db_usuarios!E2:E3,"&gt;3", uo288066_db_usuarios!E2:E3,"&lt;=5")</f>
        <v>0</v>
      </c>
      <c r="E12" s="15">
        <f>COUNTIFS(uo288066_db_usuarios!E2:E3,"&gt;5", uo288066_db_usuarios!E2:E3,"&lt;=7")</f>
        <v>0</v>
      </c>
      <c r="F12" s="16">
        <f>COUNTIFS(uo288066_db_usuarios!E2:E3,"&gt;7", uo288066_db_usuarios!E2:E3,"&lt;=10")</f>
        <v>2</v>
      </c>
      <c r="I12" s="31"/>
      <c r="J12" s="32"/>
      <c r="K12" s="32"/>
      <c r="L12" s="32"/>
      <c r="M12" s="32"/>
      <c r="N12" s="32"/>
      <c r="O12" s="32"/>
      <c r="P12" s="32"/>
      <c r="Q12" s="32"/>
      <c r="R12" s="33"/>
    </row>
    <row r="13" spans="2:18" ht="15.65" thickBot="1" x14ac:dyDescent="0.35">
      <c r="B13" s="42" t="s">
        <v>10</v>
      </c>
      <c r="C13" s="37">
        <f t="shared" ref="C13:E13" si="1" xml:space="preserve"> C12/($C$12+$D$12+$E$12+$F$12)</f>
        <v>0</v>
      </c>
      <c r="D13" s="38">
        <f t="shared" si="1"/>
        <v>0</v>
      </c>
      <c r="E13" s="38">
        <f t="shared" si="1"/>
        <v>0</v>
      </c>
      <c r="F13" s="39">
        <f xml:space="preserve"> F12/($C$12+$D$12+$E$12+$F$12)</f>
        <v>1</v>
      </c>
      <c r="I13" s="31"/>
      <c r="J13" s="32"/>
      <c r="K13" s="32"/>
      <c r="L13" s="32"/>
      <c r="M13" s="32"/>
      <c r="N13" s="32"/>
      <c r="O13" s="32"/>
      <c r="P13" s="32"/>
      <c r="Q13" s="32"/>
      <c r="R13" s="33"/>
    </row>
    <row r="14" spans="2:18" x14ac:dyDescent="0.3">
      <c r="C14" s="20"/>
      <c r="I14" s="31"/>
      <c r="J14" s="32"/>
      <c r="K14" s="32"/>
      <c r="L14" s="32"/>
      <c r="M14" s="32"/>
      <c r="N14" s="32"/>
      <c r="O14" s="32"/>
      <c r="P14" s="32"/>
      <c r="Q14" s="32"/>
      <c r="R14" s="33"/>
    </row>
    <row r="15" spans="2:18" ht="15.65" thickBot="1" x14ac:dyDescent="0.35">
      <c r="I15" s="31"/>
      <c r="J15" s="32"/>
      <c r="K15" s="32"/>
      <c r="L15" s="32"/>
      <c r="M15" s="32"/>
      <c r="N15" s="32"/>
      <c r="O15" s="32"/>
      <c r="P15" s="32"/>
      <c r="Q15" s="32"/>
      <c r="R15" s="33"/>
    </row>
    <row r="16" spans="2:18" ht="15.65" thickBot="1" x14ac:dyDescent="0.35">
      <c r="C16" s="76" t="s">
        <v>16</v>
      </c>
      <c r="D16" s="77"/>
      <c r="E16" s="78"/>
      <c r="I16" s="31"/>
      <c r="J16" s="32"/>
      <c r="K16" s="32"/>
      <c r="L16" s="32"/>
      <c r="M16" s="32"/>
      <c r="N16" s="32"/>
      <c r="O16" s="32"/>
      <c r="P16" s="32"/>
      <c r="Q16" s="32"/>
      <c r="R16" s="33"/>
    </row>
    <row r="17" spans="2:18" ht="15.65" thickBot="1" x14ac:dyDescent="0.35">
      <c r="C17" s="13" t="s">
        <v>17</v>
      </c>
      <c r="D17" s="22" t="s">
        <v>18</v>
      </c>
      <c r="E17" s="14" t="s">
        <v>33</v>
      </c>
      <c r="I17" s="31"/>
      <c r="J17" s="32"/>
      <c r="K17" s="32"/>
      <c r="L17" s="32"/>
      <c r="M17" s="32"/>
      <c r="N17" s="32"/>
      <c r="O17" s="32"/>
      <c r="P17" s="32"/>
      <c r="Q17" s="32"/>
      <c r="R17" s="33"/>
    </row>
    <row r="18" spans="2:18" ht="15.65" thickBot="1" x14ac:dyDescent="0.35">
      <c r="B18" s="11" t="s">
        <v>19</v>
      </c>
      <c r="C18" s="27">
        <f>COUNTIF(uo288066_db_usuarios!D2:D3, "Femenino")</f>
        <v>0</v>
      </c>
      <c r="D18" s="23">
        <f>COUNTIF(uo288066_db_usuarios!D2:D3, "Masculino")</f>
        <v>2</v>
      </c>
      <c r="E18" s="21" cm="1">
        <f t="array" ref="E18">COUNTIF(uo288066_db_usuarios!D2:D3, Otro)</f>
        <v>0</v>
      </c>
      <c r="I18" s="31"/>
      <c r="J18" s="32"/>
      <c r="K18" s="32"/>
      <c r="L18" s="32"/>
      <c r="M18" s="32"/>
      <c r="N18" s="32"/>
      <c r="O18" s="32"/>
      <c r="P18" s="32"/>
      <c r="Q18" s="32"/>
      <c r="R18" s="33"/>
    </row>
    <row r="19" spans="2:18" ht="15.65" thickBot="1" x14ac:dyDescent="0.35">
      <c r="B19" s="12" t="s">
        <v>10</v>
      </c>
      <c r="C19" s="24">
        <f t="shared" ref="C19:D19" si="2" xml:space="preserve"> C18/($C$18+$D$18+$E$18)</f>
        <v>0</v>
      </c>
      <c r="D19" s="45">
        <f t="shared" si="2"/>
        <v>1</v>
      </c>
      <c r="E19" s="25">
        <f xml:space="preserve"> E18/($C$18+$D$18+$E$18)</f>
        <v>0</v>
      </c>
      <c r="I19" s="31"/>
      <c r="J19" s="32"/>
      <c r="K19" s="32"/>
      <c r="L19" s="32"/>
      <c r="M19" s="32"/>
      <c r="N19" s="32"/>
      <c r="O19" s="32"/>
      <c r="P19" s="32"/>
      <c r="Q19" s="32"/>
      <c r="R19" s="33"/>
    </row>
    <row r="20" spans="2:18" x14ac:dyDescent="0.3">
      <c r="I20" s="31"/>
      <c r="J20" s="32"/>
      <c r="K20" s="32"/>
      <c r="L20" s="32"/>
      <c r="M20" s="32"/>
      <c r="N20" s="32"/>
      <c r="O20" s="32"/>
      <c r="P20" s="32"/>
      <c r="Q20" s="32"/>
      <c r="R20" s="33"/>
    </row>
    <row r="21" spans="2:18" x14ac:dyDescent="0.3">
      <c r="I21" s="31"/>
      <c r="J21" s="32"/>
      <c r="K21" s="32"/>
      <c r="L21" s="32"/>
      <c r="M21" s="32"/>
      <c r="N21" s="32"/>
      <c r="O21" s="32"/>
      <c r="P21" s="32"/>
      <c r="Q21" s="32"/>
      <c r="R21" s="33"/>
    </row>
    <row r="22" spans="2:18" x14ac:dyDescent="0.3">
      <c r="I22" s="31"/>
      <c r="J22" s="32"/>
      <c r="K22" s="32"/>
      <c r="L22" s="32"/>
      <c r="M22" s="32"/>
      <c r="N22" s="32"/>
      <c r="O22" s="32"/>
      <c r="P22" s="32"/>
      <c r="Q22" s="32"/>
      <c r="R22" s="33"/>
    </row>
    <row r="23" spans="2:18" x14ac:dyDescent="0.3">
      <c r="I23" s="31"/>
      <c r="J23" s="32"/>
      <c r="K23" s="32"/>
      <c r="L23" s="32"/>
      <c r="M23" s="32"/>
      <c r="N23" s="32"/>
      <c r="O23" s="32"/>
      <c r="P23" s="32"/>
      <c r="Q23" s="32"/>
      <c r="R23" s="33"/>
    </row>
    <row r="24" spans="2:18" x14ac:dyDescent="0.3">
      <c r="I24" s="31"/>
      <c r="J24" s="32"/>
      <c r="K24" s="32"/>
      <c r="L24" s="32"/>
      <c r="M24" s="32"/>
      <c r="N24" s="32"/>
      <c r="O24" s="32"/>
      <c r="P24" s="32"/>
      <c r="Q24" s="32"/>
      <c r="R24" s="33"/>
    </row>
    <row r="25" spans="2:18" x14ac:dyDescent="0.3">
      <c r="I25" s="31"/>
      <c r="J25" s="32"/>
      <c r="K25" s="32"/>
      <c r="L25" s="32"/>
      <c r="M25" s="32"/>
      <c r="N25" s="32"/>
      <c r="O25" s="32"/>
      <c r="P25" s="32"/>
      <c r="Q25" s="32"/>
      <c r="R25" s="33"/>
    </row>
    <row r="26" spans="2:18" x14ac:dyDescent="0.3">
      <c r="I26" s="31"/>
      <c r="J26" s="32"/>
      <c r="K26" s="32"/>
      <c r="L26" s="32"/>
      <c r="M26" s="32"/>
      <c r="N26" s="32"/>
      <c r="O26" s="32"/>
      <c r="P26" s="32"/>
      <c r="Q26" s="32"/>
      <c r="R26" s="33"/>
    </row>
    <row r="27" spans="2:18" x14ac:dyDescent="0.3">
      <c r="I27" s="31"/>
      <c r="J27" s="32"/>
      <c r="K27" s="32"/>
      <c r="L27" s="32"/>
      <c r="M27" s="32"/>
      <c r="N27" s="32"/>
      <c r="O27" s="32"/>
      <c r="P27" s="32"/>
      <c r="Q27" s="32"/>
      <c r="R27" s="33"/>
    </row>
    <row r="28" spans="2:18" x14ac:dyDescent="0.3">
      <c r="I28" s="31"/>
      <c r="J28" s="32"/>
      <c r="K28" s="32"/>
      <c r="L28" s="32"/>
      <c r="M28" s="32"/>
      <c r="N28" s="32"/>
      <c r="O28" s="32"/>
      <c r="P28" s="32"/>
      <c r="Q28" s="32"/>
      <c r="R28" s="33"/>
    </row>
    <row r="29" spans="2:18" x14ac:dyDescent="0.3">
      <c r="I29" s="31"/>
      <c r="J29" s="32"/>
      <c r="K29" s="32"/>
      <c r="L29" s="32"/>
      <c r="M29" s="32"/>
      <c r="N29" s="32"/>
      <c r="O29" s="32"/>
      <c r="P29" s="32"/>
      <c r="Q29" s="32"/>
      <c r="R29" s="33"/>
    </row>
    <row r="30" spans="2:18" x14ac:dyDescent="0.3">
      <c r="I30" s="31"/>
      <c r="J30" s="32"/>
      <c r="K30" s="32"/>
      <c r="L30" s="32"/>
      <c r="M30" s="32"/>
      <c r="N30" s="32"/>
      <c r="O30" s="32"/>
      <c r="P30" s="32"/>
      <c r="Q30" s="32"/>
      <c r="R30" s="33"/>
    </row>
    <row r="31" spans="2:18" x14ac:dyDescent="0.3">
      <c r="I31" s="31"/>
      <c r="J31" s="32"/>
      <c r="K31" s="32"/>
      <c r="L31" s="32"/>
      <c r="M31" s="32"/>
      <c r="N31" s="32"/>
      <c r="O31" s="32"/>
      <c r="P31" s="32"/>
      <c r="Q31" s="32"/>
      <c r="R31" s="33"/>
    </row>
    <row r="32" spans="2:18" x14ac:dyDescent="0.3">
      <c r="I32" s="31"/>
      <c r="J32" s="32"/>
      <c r="K32" s="32"/>
      <c r="L32" s="32"/>
      <c r="M32" s="32"/>
      <c r="N32" s="32"/>
      <c r="O32" s="32"/>
      <c r="P32" s="32"/>
      <c r="Q32" s="32"/>
      <c r="R32" s="33"/>
    </row>
    <row r="33" spans="9:18" x14ac:dyDescent="0.3">
      <c r="I33" s="31"/>
      <c r="J33" s="32"/>
      <c r="K33" s="32"/>
      <c r="L33" s="32"/>
      <c r="M33" s="32"/>
      <c r="N33" s="32"/>
      <c r="O33" s="32"/>
      <c r="P33" s="32"/>
      <c r="Q33" s="32"/>
      <c r="R33" s="33"/>
    </row>
    <row r="34" spans="9:18" x14ac:dyDescent="0.3">
      <c r="I34" s="31"/>
      <c r="J34" s="32"/>
      <c r="K34" s="32"/>
      <c r="L34" s="32"/>
      <c r="M34" s="32"/>
      <c r="N34" s="32"/>
      <c r="O34" s="32"/>
      <c r="P34" s="32"/>
      <c r="Q34" s="32"/>
      <c r="R34" s="33"/>
    </row>
    <row r="35" spans="9:18" x14ac:dyDescent="0.3">
      <c r="I35" s="31"/>
      <c r="J35" s="32"/>
      <c r="K35" s="32"/>
      <c r="L35" s="32"/>
      <c r="M35" s="32"/>
      <c r="N35" s="32"/>
      <c r="O35" s="32"/>
      <c r="P35" s="32"/>
      <c r="Q35" s="32"/>
      <c r="R35" s="33"/>
    </row>
    <row r="36" spans="9:18" x14ac:dyDescent="0.3">
      <c r="I36" s="31"/>
      <c r="J36" s="32"/>
      <c r="K36" s="32"/>
      <c r="L36" s="32"/>
      <c r="M36" s="32"/>
      <c r="N36" s="32"/>
      <c r="O36" s="32"/>
      <c r="P36" s="32"/>
      <c r="Q36" s="32"/>
      <c r="R36" s="33"/>
    </row>
    <row r="37" spans="9:18" x14ac:dyDescent="0.3">
      <c r="I37" s="31"/>
      <c r="J37" s="32"/>
      <c r="K37" s="32"/>
      <c r="L37" s="32"/>
      <c r="M37" s="32"/>
      <c r="N37" s="32"/>
      <c r="O37" s="32"/>
      <c r="P37" s="32"/>
      <c r="Q37" s="32"/>
      <c r="R37" s="33"/>
    </row>
    <row r="38" spans="9:18" x14ac:dyDescent="0.3">
      <c r="I38" s="31"/>
      <c r="J38" s="32"/>
      <c r="K38" s="32"/>
      <c r="L38" s="32"/>
      <c r="M38" s="32"/>
      <c r="N38" s="32"/>
      <c r="O38" s="32"/>
      <c r="P38" s="32"/>
      <c r="Q38" s="32"/>
      <c r="R38" s="33"/>
    </row>
    <row r="39" spans="9:18" x14ac:dyDescent="0.3">
      <c r="I39" s="31"/>
      <c r="J39" s="32"/>
      <c r="K39" s="32"/>
      <c r="L39" s="32"/>
      <c r="M39" s="32"/>
      <c r="N39" s="32"/>
      <c r="O39" s="32"/>
      <c r="P39" s="32"/>
      <c r="Q39" s="32"/>
      <c r="R39" s="33"/>
    </row>
    <row r="40" spans="9:18" x14ac:dyDescent="0.3">
      <c r="I40" s="31"/>
      <c r="J40" s="32"/>
      <c r="K40" s="32"/>
      <c r="L40" s="32"/>
      <c r="M40" s="32"/>
      <c r="N40" s="32"/>
      <c r="O40" s="32"/>
      <c r="P40" s="32"/>
      <c r="Q40" s="32"/>
      <c r="R40" s="33"/>
    </row>
    <row r="41" spans="9:18" x14ac:dyDescent="0.3">
      <c r="I41" s="31"/>
      <c r="J41" s="32"/>
      <c r="K41" s="32"/>
      <c r="L41" s="32"/>
      <c r="M41" s="32"/>
      <c r="N41" s="32"/>
      <c r="O41" s="32"/>
      <c r="P41" s="32"/>
      <c r="Q41" s="32"/>
      <c r="R41" s="33"/>
    </row>
    <row r="42" spans="9:18" x14ac:dyDescent="0.3">
      <c r="I42" s="31"/>
      <c r="J42" s="32"/>
      <c r="K42" s="32"/>
      <c r="L42" s="32"/>
      <c r="M42" s="32"/>
      <c r="N42" s="32"/>
      <c r="O42" s="32"/>
      <c r="P42" s="32"/>
      <c r="Q42" s="32"/>
      <c r="R42" s="33"/>
    </row>
    <row r="43" spans="9:18" x14ac:dyDescent="0.3">
      <c r="I43" s="31"/>
      <c r="J43" s="32"/>
      <c r="K43" s="32"/>
      <c r="L43" s="32"/>
      <c r="M43" s="32"/>
      <c r="N43" s="32"/>
      <c r="O43" s="32"/>
      <c r="P43" s="32"/>
      <c r="Q43" s="32"/>
      <c r="R43" s="33"/>
    </row>
    <row r="44" spans="9:18" x14ac:dyDescent="0.3">
      <c r="I44" s="31"/>
      <c r="J44" s="32"/>
      <c r="K44" s="32"/>
      <c r="L44" s="32"/>
      <c r="M44" s="32"/>
      <c r="N44" s="32"/>
      <c r="O44" s="32"/>
      <c r="P44" s="32"/>
      <c r="Q44" s="32"/>
      <c r="R44" s="33"/>
    </row>
    <row r="45" spans="9:18" ht="15.65" thickBot="1" x14ac:dyDescent="0.35">
      <c r="I45" s="34"/>
      <c r="J45" s="35"/>
      <c r="K45" s="35"/>
      <c r="L45" s="35"/>
      <c r="M45" s="35"/>
      <c r="N45" s="35"/>
      <c r="O45" s="35"/>
      <c r="P45" s="35"/>
      <c r="Q45" s="35"/>
      <c r="R45" s="36"/>
    </row>
  </sheetData>
  <mergeCells count="4">
    <mergeCell ref="C4:G4"/>
    <mergeCell ref="C10:F10"/>
    <mergeCell ref="C16:E16"/>
    <mergeCell ref="I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E797-EEB2-4B58-B867-67BE01D99B3E}">
  <dimension ref="B1:R45"/>
  <sheetViews>
    <sheetView topLeftCell="A5" zoomScale="70" zoomScaleNormal="70" workbookViewId="0">
      <selection sqref="A1:R45"/>
    </sheetView>
  </sheetViews>
  <sheetFormatPr baseColWidth="10" defaultRowHeight="15.05" x14ac:dyDescent="0.3"/>
  <cols>
    <col min="8" max="8" width="11.5546875" customWidth="1"/>
    <col min="9" max="9" width="3.88671875" customWidth="1"/>
    <col min="18" max="18" width="3.88671875" customWidth="1"/>
  </cols>
  <sheetData>
    <row r="1" spans="2:18" ht="15.65" thickBot="1" x14ac:dyDescent="0.35"/>
    <row r="2" spans="2:18" ht="15.65" thickBot="1" x14ac:dyDescent="0.35">
      <c r="B2" s="9" t="s">
        <v>1</v>
      </c>
      <c r="C2" s="10">
        <f>AVERAGE(uo288066_db_usuarios!C4:C6)</f>
        <v>51.333333333333336</v>
      </c>
      <c r="I2" s="79" t="s">
        <v>20</v>
      </c>
      <c r="J2" s="80"/>
      <c r="K2" s="81"/>
      <c r="L2" s="29"/>
      <c r="M2" s="29"/>
      <c r="N2" s="29"/>
      <c r="O2" s="29"/>
      <c r="P2" s="29"/>
      <c r="Q2" s="29"/>
      <c r="R2" s="30"/>
    </row>
    <row r="3" spans="2:18" ht="15.65" thickBot="1" x14ac:dyDescent="0.35">
      <c r="I3" s="31"/>
      <c r="J3" s="32"/>
      <c r="K3" s="32"/>
      <c r="L3" s="32"/>
      <c r="M3" s="32"/>
      <c r="N3" s="32"/>
      <c r="O3" s="32"/>
      <c r="P3" s="32"/>
      <c r="Q3" s="32"/>
      <c r="R3" s="33"/>
    </row>
    <row r="4" spans="2:18" ht="15.65" thickBot="1" x14ac:dyDescent="0.35">
      <c r="C4" s="70" t="s">
        <v>2</v>
      </c>
      <c r="D4" s="71"/>
      <c r="E4" s="71"/>
      <c r="F4" s="71"/>
      <c r="G4" s="72"/>
      <c r="I4" s="31"/>
      <c r="J4" s="32"/>
      <c r="K4" s="32"/>
      <c r="L4" s="32"/>
      <c r="M4" s="32"/>
      <c r="N4" s="32"/>
      <c r="O4" s="32"/>
      <c r="P4" s="32"/>
      <c r="Q4" s="32"/>
      <c r="R4" s="33"/>
    </row>
    <row r="5" spans="2:18" ht="15.65" thickBot="1" x14ac:dyDescent="0.35">
      <c r="B5" s="1" t="s">
        <v>8</v>
      </c>
      <c r="C5" s="3" t="s">
        <v>3</v>
      </c>
      <c r="D5" s="4" t="s">
        <v>4</v>
      </c>
      <c r="E5" s="4" t="s">
        <v>5</v>
      </c>
      <c r="F5" s="4" t="s">
        <v>6</v>
      </c>
      <c r="G5" s="2" t="s">
        <v>7</v>
      </c>
      <c r="I5" s="31"/>
      <c r="J5" s="32"/>
      <c r="K5" s="32"/>
      <c r="L5" s="32"/>
      <c r="M5" s="32"/>
      <c r="N5" s="32"/>
      <c r="O5" s="32"/>
      <c r="P5" s="32"/>
      <c r="Q5" s="32"/>
      <c r="R5" s="33"/>
    </row>
    <row r="6" spans="2:18" ht="15.65" thickBot="1" x14ac:dyDescent="0.35">
      <c r="B6" s="43" t="s">
        <v>9</v>
      </c>
      <c r="C6" s="17">
        <f>COUNTIF(uo288066_db_usuarios!C4:C6,"&lt;=20")</f>
        <v>0</v>
      </c>
      <c r="D6" s="18">
        <f>COUNTIFS(uo288066_db_usuarios!C4:C6,"&gt;20", uo288066_db_usuarios!C4:C6,"&lt;=30")</f>
        <v>0</v>
      </c>
      <c r="E6">
        <f>COUNTIFS(uo288066_db_usuarios!C4:C6,"&gt;30", uo288066_db_usuarios!C4:C6,"&lt;=40")</f>
        <v>1</v>
      </c>
      <c r="F6" s="18">
        <f>COUNTIFS(uo288066_db_usuarios!C4:C6,"&gt;40", uo288066_db_usuarios!C4:C6,"&lt;=65")</f>
        <v>2</v>
      </c>
      <c r="G6" s="19">
        <f>COUNTIF(uo288066_db_usuarios!C4:C6,"&gt;65")</f>
        <v>0</v>
      </c>
      <c r="I6" s="31"/>
      <c r="J6" s="32"/>
      <c r="K6" s="32"/>
      <c r="L6" s="32"/>
      <c r="M6" s="32"/>
      <c r="N6" s="32"/>
      <c r="O6" s="32"/>
      <c r="P6" s="32"/>
      <c r="Q6" s="32"/>
      <c r="R6" s="33"/>
    </row>
    <row r="7" spans="2:18" ht="15.65" thickBot="1" x14ac:dyDescent="0.35">
      <c r="B7" s="1" t="s">
        <v>10</v>
      </c>
      <c r="C7" s="26">
        <f t="shared" ref="C7:F7" si="0" xml:space="preserve"> C6/($C$6+$D$6+$E$6+$F$6+$G$6)</f>
        <v>0</v>
      </c>
      <c r="D7" s="44">
        <f t="shared" si="0"/>
        <v>0</v>
      </c>
      <c r="E7" s="44">
        <f t="shared" si="0"/>
        <v>0.33333333333333331</v>
      </c>
      <c r="F7" s="44">
        <f t="shared" si="0"/>
        <v>0.66666666666666663</v>
      </c>
      <c r="G7" s="44">
        <f xml:space="preserve"> G6/($C$6+$D$6+$E$6+$F$6+$G$6)</f>
        <v>0</v>
      </c>
      <c r="I7" s="31"/>
      <c r="J7" s="32"/>
      <c r="K7" s="32"/>
      <c r="L7" s="32"/>
      <c r="M7" s="32"/>
      <c r="N7" s="32"/>
      <c r="O7" s="32"/>
      <c r="P7" s="32"/>
      <c r="Q7" s="32"/>
      <c r="R7" s="33"/>
    </row>
    <row r="8" spans="2:18" x14ac:dyDescent="0.3">
      <c r="I8" s="31"/>
      <c r="J8" s="32"/>
      <c r="K8" s="32"/>
      <c r="L8" s="32"/>
      <c r="M8" s="32"/>
      <c r="N8" s="32"/>
      <c r="O8" s="32"/>
      <c r="P8" s="32"/>
      <c r="Q8" s="32"/>
      <c r="R8" s="33"/>
    </row>
    <row r="9" spans="2:18" ht="15.65" thickBot="1" x14ac:dyDescent="0.35">
      <c r="I9" s="31"/>
      <c r="J9" s="32"/>
      <c r="K9" s="32"/>
      <c r="L9" s="32"/>
      <c r="M9" s="32"/>
      <c r="N9" s="32"/>
      <c r="O9" s="32"/>
      <c r="P9" s="32"/>
      <c r="Q9" s="32"/>
      <c r="R9" s="33"/>
    </row>
    <row r="10" spans="2:18" ht="15.65" thickBot="1" x14ac:dyDescent="0.35">
      <c r="C10" s="73" t="s">
        <v>11</v>
      </c>
      <c r="D10" s="74"/>
      <c r="E10" s="74"/>
      <c r="F10" s="75"/>
      <c r="I10" s="31"/>
      <c r="J10" s="32"/>
      <c r="K10" s="32"/>
      <c r="L10" s="32"/>
      <c r="M10" s="32"/>
      <c r="N10" s="32"/>
      <c r="O10" s="32"/>
      <c r="P10" s="32"/>
      <c r="Q10" s="32"/>
      <c r="R10" s="33"/>
    </row>
    <row r="11" spans="2:18" ht="15.65" thickBot="1" x14ac:dyDescent="0.35">
      <c r="B11" s="5" t="s">
        <v>8</v>
      </c>
      <c r="C11" s="40" t="s">
        <v>15</v>
      </c>
      <c r="D11" s="6" t="s">
        <v>12</v>
      </c>
      <c r="E11" s="7" t="s">
        <v>13</v>
      </c>
      <c r="F11" s="8" t="s">
        <v>14</v>
      </c>
      <c r="I11" s="31"/>
      <c r="J11" s="32"/>
      <c r="K11" s="32"/>
      <c r="L11" s="32"/>
      <c r="M11" s="32"/>
      <c r="N11" s="32"/>
      <c r="O11" s="32"/>
      <c r="P11" s="32"/>
      <c r="Q11" s="32"/>
      <c r="R11" s="33"/>
    </row>
    <row r="12" spans="2:18" ht="15.65" thickBot="1" x14ac:dyDescent="0.35">
      <c r="B12" s="5" t="s">
        <v>9</v>
      </c>
      <c r="C12" s="41">
        <f>COUNTIF(uo288066_db_usuarios!E4:E6,"&lt;=3")</f>
        <v>1</v>
      </c>
      <c r="D12" s="15">
        <f>COUNTIFS(uo288066_db_usuarios!E4:E6,"&gt;3", uo288066_db_usuarios!E4:E6,"&lt;=5")</f>
        <v>0</v>
      </c>
      <c r="E12" s="15">
        <f>COUNTIFS(uo288066_db_usuarios!E4:E6,"&gt;5", uo288066_db_usuarios!E4:E6,"&lt;=7")</f>
        <v>1</v>
      </c>
      <c r="F12" s="16">
        <f>COUNTIFS(uo288066_db_usuarios!E4:E6,"&gt;7", uo288066_db_usuarios!E4:E6,"&lt;=10")</f>
        <v>1</v>
      </c>
      <c r="I12" s="31"/>
      <c r="J12" s="32"/>
      <c r="K12" s="32"/>
      <c r="L12" s="32"/>
      <c r="M12" s="32"/>
      <c r="N12" s="32"/>
      <c r="O12" s="32"/>
      <c r="P12" s="32"/>
      <c r="Q12" s="32"/>
      <c r="R12" s="33"/>
    </row>
    <row r="13" spans="2:18" ht="15.65" thickBot="1" x14ac:dyDescent="0.35">
      <c r="B13" s="42" t="s">
        <v>10</v>
      </c>
      <c r="C13" s="37">
        <f t="shared" ref="C13:E13" si="1" xml:space="preserve"> C12/($C$12+$D$12+$E$12+$F$12)</f>
        <v>0.33333333333333331</v>
      </c>
      <c r="D13" s="38">
        <f t="shared" si="1"/>
        <v>0</v>
      </c>
      <c r="E13" s="38">
        <f t="shared" si="1"/>
        <v>0.33333333333333331</v>
      </c>
      <c r="F13" s="39">
        <f xml:space="preserve"> F12/($C$12+$D$12+$E$12+$F$12)</f>
        <v>0.33333333333333331</v>
      </c>
      <c r="I13" s="31"/>
      <c r="J13" s="32"/>
      <c r="K13" s="32"/>
      <c r="L13" s="32"/>
      <c r="M13" s="32"/>
      <c r="N13" s="32"/>
      <c r="O13" s="32"/>
      <c r="P13" s="32"/>
      <c r="Q13" s="32"/>
      <c r="R13" s="33"/>
    </row>
    <row r="14" spans="2:18" x14ac:dyDescent="0.3">
      <c r="C14" s="20"/>
      <c r="I14" s="31"/>
      <c r="J14" s="32"/>
      <c r="K14" s="32"/>
      <c r="L14" s="32"/>
      <c r="M14" s="32"/>
      <c r="N14" s="32"/>
      <c r="O14" s="32"/>
      <c r="P14" s="32"/>
      <c r="Q14" s="32"/>
      <c r="R14" s="33"/>
    </row>
    <row r="15" spans="2:18" ht="15.65" thickBot="1" x14ac:dyDescent="0.35">
      <c r="I15" s="31"/>
      <c r="J15" s="32"/>
      <c r="K15" s="32"/>
      <c r="L15" s="32"/>
      <c r="M15" s="32"/>
      <c r="N15" s="32"/>
      <c r="O15" s="32"/>
      <c r="P15" s="32"/>
      <c r="Q15" s="32"/>
      <c r="R15" s="33"/>
    </row>
    <row r="16" spans="2:18" ht="15.65" thickBot="1" x14ac:dyDescent="0.35">
      <c r="C16" s="76" t="s">
        <v>16</v>
      </c>
      <c r="D16" s="77"/>
      <c r="E16" s="78"/>
      <c r="I16" s="31"/>
      <c r="J16" s="32"/>
      <c r="K16" s="32"/>
      <c r="L16" s="32"/>
      <c r="M16" s="32"/>
      <c r="N16" s="32"/>
      <c r="O16" s="32"/>
      <c r="P16" s="32"/>
      <c r="Q16" s="32"/>
      <c r="R16" s="33"/>
    </row>
    <row r="17" spans="2:18" ht="15.65" thickBot="1" x14ac:dyDescent="0.35">
      <c r="C17" s="13" t="s">
        <v>17</v>
      </c>
      <c r="D17" s="22" t="s">
        <v>18</v>
      </c>
      <c r="E17" s="14" t="s">
        <v>33</v>
      </c>
      <c r="I17" s="31"/>
      <c r="J17" s="32"/>
      <c r="K17" s="32"/>
      <c r="L17" s="32"/>
      <c r="M17" s="32"/>
      <c r="N17" s="32"/>
      <c r="O17" s="32"/>
      <c r="P17" s="32"/>
      <c r="Q17" s="32"/>
      <c r="R17" s="33"/>
    </row>
    <row r="18" spans="2:18" ht="15.65" thickBot="1" x14ac:dyDescent="0.35">
      <c r="B18" s="11" t="s">
        <v>19</v>
      </c>
      <c r="C18" s="27">
        <f>COUNTIF(uo288066_db_usuarios!D4:D6, "Femenino")</f>
        <v>1</v>
      </c>
      <c r="D18" s="23">
        <f>COUNTIF(uo288066_db_usuarios!D4:D6, "Masculino")</f>
        <v>2</v>
      </c>
      <c r="E18" s="21" cm="1">
        <f t="array" ref="E18">COUNTIF(uo288066_db_usuarios!D4:D6, Otro)</f>
        <v>0</v>
      </c>
      <c r="I18" s="31"/>
      <c r="J18" s="32"/>
      <c r="K18" s="32"/>
      <c r="L18" s="32"/>
      <c r="M18" s="32"/>
      <c r="N18" s="32"/>
      <c r="O18" s="32"/>
      <c r="P18" s="32"/>
      <c r="Q18" s="32"/>
      <c r="R18" s="33"/>
    </row>
    <row r="19" spans="2:18" ht="15.65" thickBot="1" x14ac:dyDescent="0.35">
      <c r="B19" s="12" t="s">
        <v>10</v>
      </c>
      <c r="C19" s="24">
        <f t="shared" ref="C19:D19" si="2" xml:space="preserve"> C18/($C$18+$D$18+$E$18)</f>
        <v>0.33333333333333331</v>
      </c>
      <c r="D19" s="45">
        <f t="shared" si="2"/>
        <v>0.66666666666666663</v>
      </c>
      <c r="E19" s="25">
        <f xml:space="preserve"> E18/($C$18+$D$18+$E$18)</f>
        <v>0</v>
      </c>
      <c r="I19" s="31"/>
      <c r="J19" s="32"/>
      <c r="K19" s="32"/>
      <c r="L19" s="32"/>
      <c r="M19" s="32"/>
      <c r="N19" s="32"/>
      <c r="O19" s="32"/>
      <c r="P19" s="32"/>
      <c r="Q19" s="32"/>
      <c r="R19" s="33"/>
    </row>
    <row r="20" spans="2:18" x14ac:dyDescent="0.3">
      <c r="I20" s="31"/>
      <c r="J20" s="32"/>
      <c r="K20" s="32"/>
      <c r="L20" s="32"/>
      <c r="M20" s="32"/>
      <c r="N20" s="32"/>
      <c r="O20" s="32"/>
      <c r="P20" s="32"/>
      <c r="Q20" s="32"/>
      <c r="R20" s="33"/>
    </row>
    <row r="21" spans="2:18" x14ac:dyDescent="0.3">
      <c r="I21" s="31"/>
      <c r="J21" s="32"/>
      <c r="K21" s="32"/>
      <c r="L21" s="32"/>
      <c r="M21" s="32"/>
      <c r="N21" s="32"/>
      <c r="O21" s="32"/>
      <c r="P21" s="32"/>
      <c r="Q21" s="32"/>
      <c r="R21" s="33"/>
    </row>
    <row r="22" spans="2:18" x14ac:dyDescent="0.3">
      <c r="I22" s="31"/>
      <c r="J22" s="32"/>
      <c r="K22" s="32"/>
      <c r="L22" s="32"/>
      <c r="M22" s="32"/>
      <c r="N22" s="32"/>
      <c r="O22" s="32"/>
      <c r="P22" s="32"/>
      <c r="Q22" s="32"/>
      <c r="R22" s="33"/>
    </row>
    <row r="23" spans="2:18" x14ac:dyDescent="0.3">
      <c r="I23" s="31"/>
      <c r="J23" s="32"/>
      <c r="K23" s="32"/>
      <c r="L23" s="32"/>
      <c r="M23" s="32"/>
      <c r="N23" s="32"/>
      <c r="O23" s="32"/>
      <c r="P23" s="32"/>
      <c r="Q23" s="32"/>
      <c r="R23" s="33"/>
    </row>
    <row r="24" spans="2:18" x14ac:dyDescent="0.3">
      <c r="I24" s="31"/>
      <c r="J24" s="32"/>
      <c r="K24" s="32"/>
      <c r="L24" s="32"/>
      <c r="M24" s="32"/>
      <c r="N24" s="32"/>
      <c r="O24" s="32"/>
      <c r="P24" s="32"/>
      <c r="Q24" s="32"/>
      <c r="R24" s="33"/>
    </row>
    <row r="25" spans="2:18" x14ac:dyDescent="0.3">
      <c r="I25" s="31"/>
      <c r="J25" s="32"/>
      <c r="K25" s="32"/>
      <c r="L25" s="32"/>
      <c r="M25" s="32"/>
      <c r="N25" s="32"/>
      <c r="O25" s="32"/>
      <c r="P25" s="32"/>
      <c r="Q25" s="32"/>
      <c r="R25" s="33"/>
    </row>
    <row r="26" spans="2:18" x14ac:dyDescent="0.3">
      <c r="I26" s="31"/>
      <c r="J26" s="32"/>
      <c r="K26" s="32"/>
      <c r="L26" s="32"/>
      <c r="M26" s="32"/>
      <c r="N26" s="32"/>
      <c r="O26" s="32"/>
      <c r="P26" s="32"/>
      <c r="Q26" s="32"/>
      <c r="R26" s="33"/>
    </row>
    <row r="27" spans="2:18" x14ac:dyDescent="0.3">
      <c r="I27" s="31"/>
      <c r="J27" s="32"/>
      <c r="K27" s="32"/>
      <c r="L27" s="32"/>
      <c r="M27" s="32"/>
      <c r="N27" s="32"/>
      <c r="O27" s="32"/>
      <c r="P27" s="32"/>
      <c r="Q27" s="32"/>
      <c r="R27" s="33"/>
    </row>
    <row r="28" spans="2:18" x14ac:dyDescent="0.3">
      <c r="I28" s="31"/>
      <c r="J28" s="32"/>
      <c r="K28" s="32"/>
      <c r="L28" s="32"/>
      <c r="M28" s="32"/>
      <c r="N28" s="32"/>
      <c r="O28" s="32"/>
      <c r="P28" s="32"/>
      <c r="Q28" s="32"/>
      <c r="R28" s="33"/>
    </row>
    <row r="29" spans="2:18" x14ac:dyDescent="0.3">
      <c r="I29" s="31"/>
      <c r="J29" s="32"/>
      <c r="K29" s="32"/>
      <c r="L29" s="32"/>
      <c r="M29" s="32"/>
      <c r="N29" s="32"/>
      <c r="O29" s="32"/>
      <c r="P29" s="32"/>
      <c r="Q29" s="32"/>
      <c r="R29" s="33"/>
    </row>
    <row r="30" spans="2:18" x14ac:dyDescent="0.3">
      <c r="I30" s="31"/>
      <c r="J30" s="32"/>
      <c r="K30" s="32"/>
      <c r="L30" s="32"/>
      <c r="M30" s="32"/>
      <c r="N30" s="32"/>
      <c r="O30" s="32"/>
      <c r="P30" s="32"/>
      <c r="Q30" s="32"/>
      <c r="R30" s="33"/>
    </row>
    <row r="31" spans="2:18" x14ac:dyDescent="0.3">
      <c r="I31" s="31"/>
      <c r="J31" s="32"/>
      <c r="K31" s="32"/>
      <c r="L31" s="32"/>
      <c r="M31" s="32"/>
      <c r="N31" s="32"/>
      <c r="O31" s="32"/>
      <c r="P31" s="32"/>
      <c r="Q31" s="32"/>
      <c r="R31" s="33"/>
    </row>
    <row r="32" spans="2:18" x14ac:dyDescent="0.3">
      <c r="I32" s="31"/>
      <c r="J32" s="32"/>
      <c r="K32" s="32"/>
      <c r="L32" s="32"/>
      <c r="M32" s="32"/>
      <c r="N32" s="32"/>
      <c r="O32" s="32"/>
      <c r="P32" s="32"/>
      <c r="Q32" s="32"/>
      <c r="R32" s="33"/>
    </row>
    <row r="33" spans="9:18" x14ac:dyDescent="0.3">
      <c r="I33" s="31"/>
      <c r="J33" s="32"/>
      <c r="K33" s="32"/>
      <c r="L33" s="32"/>
      <c r="M33" s="32"/>
      <c r="N33" s="32"/>
      <c r="O33" s="32"/>
      <c r="P33" s="32"/>
      <c r="Q33" s="32"/>
      <c r="R33" s="33"/>
    </row>
    <row r="34" spans="9:18" x14ac:dyDescent="0.3">
      <c r="I34" s="31"/>
      <c r="J34" s="32"/>
      <c r="K34" s="32"/>
      <c r="L34" s="32"/>
      <c r="M34" s="32"/>
      <c r="N34" s="32"/>
      <c r="O34" s="32"/>
      <c r="P34" s="32"/>
      <c r="Q34" s="32"/>
      <c r="R34" s="33"/>
    </row>
    <row r="35" spans="9:18" x14ac:dyDescent="0.3">
      <c r="I35" s="31"/>
      <c r="J35" s="32"/>
      <c r="K35" s="32"/>
      <c r="L35" s="32"/>
      <c r="M35" s="32"/>
      <c r="N35" s="32"/>
      <c r="O35" s="32"/>
      <c r="P35" s="32"/>
      <c r="Q35" s="32"/>
      <c r="R35" s="33"/>
    </row>
    <row r="36" spans="9:18" x14ac:dyDescent="0.3">
      <c r="I36" s="31"/>
      <c r="J36" s="32"/>
      <c r="K36" s="32"/>
      <c r="L36" s="32"/>
      <c r="M36" s="32"/>
      <c r="N36" s="32"/>
      <c r="O36" s="32"/>
      <c r="P36" s="32"/>
      <c r="Q36" s="32"/>
      <c r="R36" s="33"/>
    </row>
    <row r="37" spans="9:18" x14ac:dyDescent="0.3">
      <c r="I37" s="31"/>
      <c r="J37" s="32"/>
      <c r="K37" s="32"/>
      <c r="L37" s="32"/>
      <c r="M37" s="32"/>
      <c r="N37" s="32"/>
      <c r="O37" s="32"/>
      <c r="P37" s="32"/>
      <c r="Q37" s="32"/>
      <c r="R37" s="33"/>
    </row>
    <row r="38" spans="9:18" x14ac:dyDescent="0.3">
      <c r="I38" s="31"/>
      <c r="J38" s="32"/>
      <c r="K38" s="32"/>
      <c r="L38" s="32"/>
      <c r="M38" s="32"/>
      <c r="N38" s="32"/>
      <c r="O38" s="32"/>
      <c r="P38" s="32"/>
      <c r="Q38" s="32"/>
      <c r="R38" s="33"/>
    </row>
    <row r="39" spans="9:18" x14ac:dyDescent="0.3">
      <c r="I39" s="31"/>
      <c r="J39" s="32"/>
      <c r="K39" s="32"/>
      <c r="L39" s="32"/>
      <c r="M39" s="32"/>
      <c r="N39" s="32"/>
      <c r="O39" s="32"/>
      <c r="P39" s="32"/>
      <c r="Q39" s="32"/>
      <c r="R39" s="33"/>
    </row>
    <row r="40" spans="9:18" x14ac:dyDescent="0.3">
      <c r="I40" s="31"/>
      <c r="J40" s="32"/>
      <c r="K40" s="32"/>
      <c r="L40" s="32"/>
      <c r="M40" s="32"/>
      <c r="N40" s="32"/>
      <c r="O40" s="32"/>
      <c r="P40" s="32"/>
      <c r="Q40" s="32"/>
      <c r="R40" s="33"/>
    </row>
    <row r="41" spans="9:18" x14ac:dyDescent="0.3">
      <c r="I41" s="31"/>
      <c r="J41" s="32"/>
      <c r="K41" s="32"/>
      <c r="L41" s="32"/>
      <c r="M41" s="32"/>
      <c r="N41" s="32"/>
      <c r="O41" s="32"/>
      <c r="P41" s="32"/>
      <c r="Q41" s="32"/>
      <c r="R41" s="33"/>
    </row>
    <row r="42" spans="9:18" x14ac:dyDescent="0.3">
      <c r="I42" s="31"/>
      <c r="J42" s="32"/>
      <c r="K42" s="32"/>
      <c r="L42" s="32"/>
      <c r="M42" s="32"/>
      <c r="N42" s="32"/>
      <c r="O42" s="32"/>
      <c r="P42" s="32"/>
      <c r="Q42" s="32"/>
      <c r="R42" s="33"/>
    </row>
    <row r="43" spans="9:18" x14ac:dyDescent="0.3">
      <c r="I43" s="31"/>
      <c r="J43" s="32"/>
      <c r="K43" s="32"/>
      <c r="L43" s="32"/>
      <c r="M43" s="32"/>
      <c r="N43" s="32"/>
      <c r="O43" s="32"/>
      <c r="P43" s="32"/>
      <c r="Q43" s="32"/>
      <c r="R43" s="33"/>
    </row>
    <row r="44" spans="9:18" x14ac:dyDescent="0.3">
      <c r="I44" s="31"/>
      <c r="J44" s="32"/>
      <c r="K44" s="32"/>
      <c r="L44" s="32"/>
      <c r="M44" s="32"/>
      <c r="N44" s="32"/>
      <c r="O44" s="32"/>
      <c r="P44" s="32"/>
      <c r="Q44" s="32"/>
      <c r="R44" s="33"/>
    </row>
    <row r="45" spans="9:18" ht="15.65" thickBot="1" x14ac:dyDescent="0.35">
      <c r="I45" s="34"/>
      <c r="J45" s="35"/>
      <c r="K45" s="35"/>
      <c r="L45" s="35"/>
      <c r="M45" s="35"/>
      <c r="N45" s="35"/>
      <c r="O45" s="35"/>
      <c r="P45" s="35"/>
      <c r="Q45" s="35"/>
      <c r="R45" s="36"/>
    </row>
  </sheetData>
  <mergeCells count="4">
    <mergeCell ref="I2:K2"/>
    <mergeCell ref="C4:G4"/>
    <mergeCell ref="C10:F10"/>
    <mergeCell ref="C16:E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7287-2BD3-4BEA-875C-548DE0F346DF}">
  <dimension ref="B1:R45"/>
  <sheetViews>
    <sheetView zoomScale="85" zoomScaleNormal="85" workbookViewId="0">
      <selection activeCell="H35" sqref="H35"/>
    </sheetView>
  </sheetViews>
  <sheetFormatPr baseColWidth="10" defaultRowHeight="15.05" x14ac:dyDescent="0.3"/>
  <cols>
    <col min="8" max="8" width="11.5546875" customWidth="1"/>
    <col min="9" max="9" width="3.88671875" customWidth="1"/>
    <col min="18" max="18" width="3.88671875" customWidth="1"/>
  </cols>
  <sheetData>
    <row r="1" spans="2:18" ht="15.65" thickBot="1" x14ac:dyDescent="0.35"/>
    <row r="2" spans="2:18" ht="15.65" thickBot="1" x14ac:dyDescent="0.35">
      <c r="B2" s="9" t="s">
        <v>1</v>
      </c>
      <c r="C2" s="10" t="e">
        <f>AVERAGE(uo288066_db_usuarios!C8:C10)</f>
        <v>#DIV/0!</v>
      </c>
      <c r="I2" s="79" t="s">
        <v>20</v>
      </c>
      <c r="J2" s="80"/>
      <c r="K2" s="81"/>
      <c r="L2" s="29"/>
      <c r="M2" s="29"/>
      <c r="N2" s="29"/>
      <c r="O2" s="29"/>
      <c r="P2" s="29"/>
      <c r="Q2" s="29"/>
      <c r="R2" s="30"/>
    </row>
    <row r="3" spans="2:18" ht="15.65" thickBot="1" x14ac:dyDescent="0.35">
      <c r="I3" s="31"/>
      <c r="J3" s="32"/>
      <c r="K3" s="32"/>
      <c r="L3" s="32"/>
      <c r="M3" s="32"/>
      <c r="N3" s="32"/>
      <c r="O3" s="32"/>
      <c r="P3" s="32"/>
      <c r="Q3" s="32"/>
      <c r="R3" s="33"/>
    </row>
    <row r="4" spans="2:18" ht="15.65" thickBot="1" x14ac:dyDescent="0.35">
      <c r="C4" s="70" t="s">
        <v>2</v>
      </c>
      <c r="D4" s="71"/>
      <c r="E4" s="71"/>
      <c r="F4" s="71"/>
      <c r="G4" s="72"/>
      <c r="I4" s="31"/>
      <c r="J4" s="32"/>
      <c r="K4" s="32"/>
      <c r="L4" s="32"/>
      <c r="M4" s="32"/>
      <c r="N4" s="32"/>
      <c r="O4" s="32"/>
      <c r="P4" s="32"/>
      <c r="Q4" s="32"/>
      <c r="R4" s="33"/>
    </row>
    <row r="5" spans="2:18" ht="15.65" thickBot="1" x14ac:dyDescent="0.35">
      <c r="B5" s="1" t="s">
        <v>8</v>
      </c>
      <c r="C5" s="3" t="s">
        <v>3</v>
      </c>
      <c r="D5" s="4" t="s">
        <v>4</v>
      </c>
      <c r="E5" s="4" t="s">
        <v>5</v>
      </c>
      <c r="F5" s="4" t="s">
        <v>6</v>
      </c>
      <c r="G5" s="2" t="s">
        <v>7</v>
      </c>
      <c r="I5" s="31"/>
      <c r="J5" s="32"/>
      <c r="K5" s="32"/>
      <c r="L5" s="32"/>
      <c r="M5" s="32"/>
      <c r="N5" s="32"/>
      <c r="O5" s="32"/>
      <c r="P5" s="32"/>
      <c r="Q5" s="32"/>
      <c r="R5" s="33"/>
    </row>
    <row r="6" spans="2:18" ht="15.65" thickBot="1" x14ac:dyDescent="0.35">
      <c r="B6" s="43" t="s">
        <v>9</v>
      </c>
      <c r="C6" s="17">
        <f>COUNTIF(uo288066_db_usuarios!C8:C10,"&lt;=20")</f>
        <v>0</v>
      </c>
      <c r="D6" s="18">
        <f>COUNTIFS(uo288066_db_usuarios!C8:C10,"&gt;20", uo288066_db_usuarios!C8:C10,"&lt;=30")</f>
        <v>0</v>
      </c>
      <c r="E6">
        <f>COUNTIFS(uo288066_db_usuarios!C8:C10,"&gt;30", uo288066_db_usuarios!C8:C10,"&lt;=40")</f>
        <v>0</v>
      </c>
      <c r="F6" s="18">
        <f>COUNTIFS(uo288066_db_usuarios!C8:C10,"&gt;40", uo288066_db_usuarios!C8:C10,"&lt;=65")</f>
        <v>0</v>
      </c>
      <c r="G6" s="19">
        <f>COUNTIF(uo288066_db_usuarios!C8:C10,"&gt;65")</f>
        <v>0</v>
      </c>
      <c r="I6" s="31"/>
      <c r="J6" s="32"/>
      <c r="K6" s="32"/>
      <c r="L6" s="32"/>
      <c r="M6" s="32"/>
      <c r="N6" s="32"/>
      <c r="O6" s="32"/>
      <c r="P6" s="32"/>
      <c r="Q6" s="32"/>
      <c r="R6" s="33"/>
    </row>
    <row r="7" spans="2:18" ht="15.65" thickBot="1" x14ac:dyDescent="0.35">
      <c r="B7" s="1" t="s">
        <v>10</v>
      </c>
      <c r="C7" s="26" t="e">
        <f t="shared" ref="C7:F7" si="0" xml:space="preserve"> C6/($C$6+$D$6+$E$6+$F$6+$G$6)</f>
        <v>#DIV/0!</v>
      </c>
      <c r="D7" s="44" t="e">
        <f t="shared" si="0"/>
        <v>#DIV/0!</v>
      </c>
      <c r="E7" s="44" t="e">
        <f t="shared" si="0"/>
        <v>#DIV/0!</v>
      </c>
      <c r="F7" s="44" t="e">
        <f t="shared" si="0"/>
        <v>#DIV/0!</v>
      </c>
      <c r="G7" s="44" t="e">
        <f xml:space="preserve"> G6/($C$6+$D$6+$E$6+$F$6+$G$6)</f>
        <v>#DIV/0!</v>
      </c>
      <c r="I7" s="31"/>
      <c r="J7" s="32"/>
      <c r="K7" s="32"/>
      <c r="L7" s="32"/>
      <c r="M7" s="32"/>
      <c r="N7" s="32"/>
      <c r="O7" s="32"/>
      <c r="P7" s="32"/>
      <c r="Q7" s="32"/>
      <c r="R7" s="33"/>
    </row>
    <row r="8" spans="2:18" x14ac:dyDescent="0.3">
      <c r="I8" s="31"/>
      <c r="J8" s="32"/>
      <c r="K8" s="32"/>
      <c r="L8" s="32"/>
      <c r="M8" s="32"/>
      <c r="N8" s="32"/>
      <c r="O8" s="32"/>
      <c r="P8" s="32"/>
      <c r="Q8" s="32"/>
      <c r="R8" s="33"/>
    </row>
    <row r="9" spans="2:18" ht="15.65" thickBot="1" x14ac:dyDescent="0.35">
      <c r="I9" s="31"/>
      <c r="J9" s="32"/>
      <c r="K9" s="32"/>
      <c r="L9" s="32"/>
      <c r="M9" s="32"/>
      <c r="N9" s="32"/>
      <c r="O9" s="32"/>
      <c r="P9" s="32"/>
      <c r="Q9" s="32"/>
      <c r="R9" s="33"/>
    </row>
    <row r="10" spans="2:18" ht="15.65" thickBot="1" x14ac:dyDescent="0.35">
      <c r="C10" s="73" t="s">
        <v>11</v>
      </c>
      <c r="D10" s="74"/>
      <c r="E10" s="74"/>
      <c r="F10" s="75"/>
      <c r="I10" s="31"/>
      <c r="J10" s="32"/>
      <c r="K10" s="32"/>
      <c r="L10" s="32"/>
      <c r="M10" s="32"/>
      <c r="N10" s="32"/>
      <c r="O10" s="32"/>
      <c r="P10" s="32"/>
      <c r="Q10" s="32"/>
      <c r="R10" s="33"/>
    </row>
    <row r="11" spans="2:18" ht="15.65" thickBot="1" x14ac:dyDescent="0.35">
      <c r="B11" s="5" t="s">
        <v>8</v>
      </c>
      <c r="C11" s="40" t="s">
        <v>15</v>
      </c>
      <c r="D11" s="6" t="s">
        <v>12</v>
      </c>
      <c r="E11" s="7" t="s">
        <v>13</v>
      </c>
      <c r="F11" s="8" t="s">
        <v>14</v>
      </c>
      <c r="I11" s="31"/>
      <c r="J11" s="32"/>
      <c r="K11" s="32"/>
      <c r="L11" s="32"/>
      <c r="M11" s="32"/>
      <c r="N11" s="32"/>
      <c r="O11" s="32"/>
      <c r="P11" s="32"/>
      <c r="Q11" s="32"/>
      <c r="R11" s="33"/>
    </row>
    <row r="12" spans="2:18" ht="15.65" thickBot="1" x14ac:dyDescent="0.35">
      <c r="B12" s="5" t="s">
        <v>9</v>
      </c>
      <c r="C12" s="41">
        <f>COUNTIF(uo288066_db_usuarios!E8:E10,"&lt;=3")</f>
        <v>0</v>
      </c>
      <c r="D12" s="15">
        <f>COUNTIFS(uo288066_db_usuarios!E8:E10,"&gt;3", uo288066_db_usuarios!E8:E10,"&lt;=5")</f>
        <v>0</v>
      </c>
      <c r="E12" s="15">
        <f>COUNTIFS(uo288066_db_usuarios!E8:E10,"&gt;5", uo288066_db_usuarios!E8:E10,"&lt;=7")</f>
        <v>0</v>
      </c>
      <c r="F12" s="16">
        <f>COUNTIFS(uo288066_db_usuarios!E8:E10,"&gt;7", uo288066_db_usuarios!E8:E10,"&lt;=10")</f>
        <v>0</v>
      </c>
      <c r="I12" s="31"/>
      <c r="J12" s="32"/>
      <c r="K12" s="32"/>
      <c r="L12" s="32"/>
      <c r="M12" s="32"/>
      <c r="N12" s="32"/>
      <c r="O12" s="32"/>
      <c r="P12" s="32"/>
      <c r="Q12" s="32"/>
      <c r="R12" s="33"/>
    </row>
    <row r="13" spans="2:18" ht="15.65" thickBot="1" x14ac:dyDescent="0.35">
      <c r="B13" s="42" t="s">
        <v>10</v>
      </c>
      <c r="C13" s="37" t="e">
        <f t="shared" ref="C13:E13" si="1" xml:space="preserve"> C12/($C$12+$D$12+$E$12+$F$12)</f>
        <v>#DIV/0!</v>
      </c>
      <c r="D13" s="38" t="e">
        <f t="shared" si="1"/>
        <v>#DIV/0!</v>
      </c>
      <c r="E13" s="38" t="e">
        <f t="shared" si="1"/>
        <v>#DIV/0!</v>
      </c>
      <c r="F13" s="39" t="e">
        <f xml:space="preserve"> F12/($C$12+$D$12+$E$12+$F$12)</f>
        <v>#DIV/0!</v>
      </c>
      <c r="I13" s="31"/>
      <c r="J13" s="32"/>
      <c r="K13" s="32"/>
      <c r="L13" s="32"/>
      <c r="M13" s="32"/>
      <c r="N13" s="32"/>
      <c r="O13" s="32"/>
      <c r="P13" s="32"/>
      <c r="Q13" s="32"/>
      <c r="R13" s="33"/>
    </row>
    <row r="14" spans="2:18" x14ac:dyDescent="0.3">
      <c r="C14" s="20"/>
      <c r="I14" s="31"/>
      <c r="J14" s="32"/>
      <c r="K14" s="32"/>
      <c r="L14" s="32"/>
      <c r="M14" s="32"/>
      <c r="N14" s="32"/>
      <c r="O14" s="32"/>
      <c r="P14" s="32"/>
      <c r="Q14" s="32"/>
      <c r="R14" s="33"/>
    </row>
    <row r="15" spans="2:18" ht="15.65" thickBot="1" x14ac:dyDescent="0.35">
      <c r="I15" s="31"/>
      <c r="J15" s="32"/>
      <c r="K15" s="32"/>
      <c r="L15" s="32"/>
      <c r="M15" s="32"/>
      <c r="N15" s="32"/>
      <c r="O15" s="32"/>
      <c r="P15" s="32"/>
      <c r="Q15" s="32"/>
      <c r="R15" s="33"/>
    </row>
    <row r="16" spans="2:18" ht="15.65" thickBot="1" x14ac:dyDescent="0.35">
      <c r="C16" s="76" t="s">
        <v>16</v>
      </c>
      <c r="D16" s="77"/>
      <c r="E16" s="78"/>
      <c r="I16" s="31"/>
      <c r="J16" s="32"/>
      <c r="K16" s="32"/>
      <c r="L16" s="32"/>
      <c r="M16" s="32"/>
      <c r="N16" s="32"/>
      <c r="O16" s="32"/>
      <c r="P16" s="32"/>
      <c r="Q16" s="32"/>
      <c r="R16" s="33"/>
    </row>
    <row r="17" spans="2:18" ht="15.65" thickBot="1" x14ac:dyDescent="0.35">
      <c r="C17" s="13" t="s">
        <v>17</v>
      </c>
      <c r="D17" s="22" t="s">
        <v>18</v>
      </c>
      <c r="E17" s="14" t="s">
        <v>33</v>
      </c>
      <c r="I17" s="31"/>
      <c r="J17" s="32"/>
      <c r="K17" s="32"/>
      <c r="L17" s="32"/>
      <c r="M17" s="32"/>
      <c r="N17" s="32"/>
      <c r="O17" s="32"/>
      <c r="P17" s="32"/>
      <c r="Q17" s="32"/>
      <c r="R17" s="33"/>
    </row>
    <row r="18" spans="2:18" ht="15.65" thickBot="1" x14ac:dyDescent="0.35">
      <c r="B18" s="11" t="s">
        <v>19</v>
      </c>
      <c r="C18" s="27">
        <f>COUNTIF(uo288066_db_usuarios!D8:D10, "Femenino")</f>
        <v>0</v>
      </c>
      <c r="D18" s="23">
        <f>COUNTIF(uo288066_db_usuarios!D8:D10, "Masculino")</f>
        <v>0</v>
      </c>
      <c r="E18" s="21">
        <f>COUNTIF(uo288066_db_usuarios!D8:D10, "Otro")</f>
        <v>0</v>
      </c>
      <c r="I18" s="31"/>
      <c r="J18" s="32"/>
      <c r="K18" s="32"/>
      <c r="L18" s="32"/>
      <c r="M18" s="32"/>
      <c r="N18" s="32"/>
      <c r="O18" s="32"/>
      <c r="P18" s="32"/>
      <c r="Q18" s="32"/>
      <c r="R18" s="33"/>
    </row>
    <row r="19" spans="2:18" ht="15.65" thickBot="1" x14ac:dyDescent="0.35">
      <c r="B19" s="12" t="s">
        <v>10</v>
      </c>
      <c r="C19" s="24" t="e">
        <f t="shared" ref="C19:D19" si="2" xml:space="preserve"> C18/($C$18+$D$18+$E$18)</f>
        <v>#DIV/0!</v>
      </c>
      <c r="D19" s="45" t="e">
        <f t="shared" si="2"/>
        <v>#DIV/0!</v>
      </c>
      <c r="E19" s="25" t="e">
        <f xml:space="preserve"> E18/($C$18+$D$18+$E$18)</f>
        <v>#DIV/0!</v>
      </c>
      <c r="I19" s="31"/>
      <c r="J19" s="32"/>
      <c r="K19" s="32"/>
      <c r="L19" s="32"/>
      <c r="M19" s="32"/>
      <c r="N19" s="32"/>
      <c r="O19" s="32"/>
      <c r="P19" s="32"/>
      <c r="Q19" s="32"/>
      <c r="R19" s="33"/>
    </row>
    <row r="20" spans="2:18" x14ac:dyDescent="0.3">
      <c r="I20" s="31"/>
      <c r="J20" s="32"/>
      <c r="K20" s="32"/>
      <c r="L20" s="32"/>
      <c r="M20" s="32"/>
      <c r="N20" s="32"/>
      <c r="O20" s="32"/>
      <c r="P20" s="32"/>
      <c r="Q20" s="32"/>
      <c r="R20" s="33"/>
    </row>
    <row r="21" spans="2:18" x14ac:dyDescent="0.3">
      <c r="I21" s="31"/>
      <c r="J21" s="32"/>
      <c r="K21" s="32"/>
      <c r="L21" s="32"/>
      <c r="M21" s="32"/>
      <c r="N21" s="32"/>
      <c r="O21" s="32"/>
      <c r="P21" s="32"/>
      <c r="Q21" s="32"/>
      <c r="R21" s="33"/>
    </row>
    <row r="22" spans="2:18" x14ac:dyDescent="0.3">
      <c r="I22" s="31"/>
      <c r="J22" s="32"/>
      <c r="K22" s="32"/>
      <c r="L22" s="32"/>
      <c r="M22" s="32"/>
      <c r="N22" s="32"/>
      <c r="O22" s="32"/>
      <c r="P22" s="32"/>
      <c r="Q22" s="32"/>
      <c r="R22" s="33"/>
    </row>
    <row r="23" spans="2:18" x14ac:dyDescent="0.3">
      <c r="I23" s="31"/>
      <c r="J23" s="32"/>
      <c r="K23" s="32"/>
      <c r="L23" s="32"/>
      <c r="M23" s="32"/>
      <c r="N23" s="32"/>
      <c r="O23" s="32"/>
      <c r="P23" s="32"/>
      <c r="Q23" s="32"/>
      <c r="R23" s="33"/>
    </row>
    <row r="24" spans="2:18" x14ac:dyDescent="0.3">
      <c r="I24" s="31"/>
      <c r="J24" s="32"/>
      <c r="K24" s="32"/>
      <c r="L24" s="32"/>
      <c r="M24" s="32"/>
      <c r="N24" s="32"/>
      <c r="O24" s="32"/>
      <c r="P24" s="32"/>
      <c r="Q24" s="32"/>
      <c r="R24" s="33"/>
    </row>
    <row r="25" spans="2:18" x14ac:dyDescent="0.3">
      <c r="I25" s="31"/>
      <c r="J25" s="32"/>
      <c r="K25" s="32"/>
      <c r="L25" s="32"/>
      <c r="M25" s="32"/>
      <c r="N25" s="32"/>
      <c r="O25" s="32"/>
      <c r="P25" s="32"/>
      <c r="Q25" s="32"/>
      <c r="R25" s="33"/>
    </row>
    <row r="26" spans="2:18" x14ac:dyDescent="0.3">
      <c r="I26" s="31"/>
      <c r="J26" s="32"/>
      <c r="K26" s="32"/>
      <c r="L26" s="32"/>
      <c r="M26" s="32"/>
      <c r="N26" s="32"/>
      <c r="O26" s="32"/>
      <c r="P26" s="32"/>
      <c r="Q26" s="32"/>
      <c r="R26" s="33"/>
    </row>
    <row r="27" spans="2:18" x14ac:dyDescent="0.3">
      <c r="I27" s="31"/>
      <c r="J27" s="32"/>
      <c r="K27" s="32"/>
      <c r="L27" s="32"/>
      <c r="M27" s="32"/>
      <c r="N27" s="32"/>
      <c r="O27" s="32"/>
      <c r="P27" s="32"/>
      <c r="Q27" s="32"/>
      <c r="R27" s="33"/>
    </row>
    <row r="28" spans="2:18" x14ac:dyDescent="0.3">
      <c r="I28" s="31"/>
      <c r="J28" s="32"/>
      <c r="K28" s="32"/>
      <c r="L28" s="32"/>
      <c r="M28" s="32"/>
      <c r="N28" s="32"/>
      <c r="O28" s="32"/>
      <c r="P28" s="32"/>
      <c r="Q28" s="32"/>
      <c r="R28" s="33"/>
    </row>
    <row r="29" spans="2:18" x14ac:dyDescent="0.3">
      <c r="I29" s="31"/>
      <c r="J29" s="32"/>
      <c r="K29" s="32"/>
      <c r="L29" s="32"/>
      <c r="M29" s="32"/>
      <c r="N29" s="32"/>
      <c r="O29" s="32"/>
      <c r="P29" s="32"/>
      <c r="Q29" s="32"/>
      <c r="R29" s="33"/>
    </row>
    <row r="30" spans="2:18" x14ac:dyDescent="0.3">
      <c r="I30" s="31"/>
      <c r="J30" s="32"/>
      <c r="K30" s="32"/>
      <c r="L30" s="32"/>
      <c r="M30" s="32"/>
      <c r="N30" s="32"/>
      <c r="O30" s="32"/>
      <c r="P30" s="32"/>
      <c r="Q30" s="32"/>
      <c r="R30" s="33"/>
    </row>
    <row r="31" spans="2:18" x14ac:dyDescent="0.3">
      <c r="I31" s="31"/>
      <c r="J31" s="32"/>
      <c r="K31" s="32"/>
      <c r="L31" s="32"/>
      <c r="M31" s="32"/>
      <c r="N31" s="32"/>
      <c r="O31" s="32"/>
      <c r="P31" s="32"/>
      <c r="Q31" s="32"/>
      <c r="R31" s="33"/>
    </row>
    <row r="32" spans="2:18" x14ac:dyDescent="0.3">
      <c r="I32" s="31"/>
      <c r="J32" s="32"/>
      <c r="K32" s="32"/>
      <c r="L32" s="32"/>
      <c r="M32" s="32"/>
      <c r="N32" s="32"/>
      <c r="O32" s="32"/>
      <c r="P32" s="32"/>
      <c r="Q32" s="32"/>
      <c r="R32" s="33"/>
    </row>
    <row r="33" spans="9:18" x14ac:dyDescent="0.3">
      <c r="I33" s="31"/>
      <c r="J33" s="32"/>
      <c r="K33" s="32"/>
      <c r="L33" s="32"/>
      <c r="M33" s="32"/>
      <c r="N33" s="32"/>
      <c r="O33" s="32"/>
      <c r="P33" s="32"/>
      <c r="Q33" s="32"/>
      <c r="R33" s="33"/>
    </row>
    <row r="34" spans="9:18" x14ac:dyDescent="0.3">
      <c r="I34" s="31"/>
      <c r="J34" s="32"/>
      <c r="K34" s="32"/>
      <c r="L34" s="32"/>
      <c r="M34" s="32"/>
      <c r="N34" s="32"/>
      <c r="O34" s="32"/>
      <c r="P34" s="32"/>
      <c r="Q34" s="32"/>
      <c r="R34" s="33"/>
    </row>
    <row r="35" spans="9:18" x14ac:dyDescent="0.3">
      <c r="I35" s="31"/>
      <c r="J35" s="32"/>
      <c r="K35" s="32"/>
      <c r="L35" s="32"/>
      <c r="M35" s="32"/>
      <c r="N35" s="32"/>
      <c r="O35" s="32"/>
      <c r="P35" s="32"/>
      <c r="Q35" s="32"/>
      <c r="R35" s="33"/>
    </row>
    <row r="36" spans="9:18" x14ac:dyDescent="0.3">
      <c r="I36" s="31"/>
      <c r="J36" s="32"/>
      <c r="K36" s="32"/>
      <c r="L36" s="32"/>
      <c r="M36" s="32"/>
      <c r="N36" s="32"/>
      <c r="O36" s="32"/>
      <c r="P36" s="32"/>
      <c r="Q36" s="32"/>
      <c r="R36" s="33"/>
    </row>
    <row r="37" spans="9:18" x14ac:dyDescent="0.3">
      <c r="I37" s="31"/>
      <c r="J37" s="32"/>
      <c r="K37" s="32"/>
      <c r="L37" s="32"/>
      <c r="M37" s="32"/>
      <c r="N37" s="32"/>
      <c r="O37" s="32"/>
      <c r="P37" s="32"/>
      <c r="Q37" s="32"/>
      <c r="R37" s="33"/>
    </row>
    <row r="38" spans="9:18" x14ac:dyDescent="0.3">
      <c r="I38" s="31"/>
      <c r="J38" s="32"/>
      <c r="K38" s="32"/>
      <c r="L38" s="32"/>
      <c r="M38" s="32"/>
      <c r="N38" s="32"/>
      <c r="O38" s="32"/>
      <c r="P38" s="32"/>
      <c r="Q38" s="32"/>
      <c r="R38" s="33"/>
    </row>
    <row r="39" spans="9:18" x14ac:dyDescent="0.3">
      <c r="I39" s="31"/>
      <c r="J39" s="32"/>
      <c r="K39" s="32"/>
      <c r="L39" s="32"/>
      <c r="M39" s="32"/>
      <c r="N39" s="32"/>
      <c r="O39" s="32"/>
      <c r="P39" s="32"/>
      <c r="Q39" s="32"/>
      <c r="R39" s="33"/>
    </row>
    <row r="40" spans="9:18" x14ac:dyDescent="0.3">
      <c r="I40" s="31"/>
      <c r="J40" s="32"/>
      <c r="K40" s="32"/>
      <c r="L40" s="32"/>
      <c r="M40" s="32"/>
      <c r="N40" s="32"/>
      <c r="O40" s="32"/>
      <c r="P40" s="32"/>
      <c r="Q40" s="32"/>
      <c r="R40" s="33"/>
    </row>
    <row r="41" spans="9:18" x14ac:dyDescent="0.3">
      <c r="I41" s="31"/>
      <c r="J41" s="32"/>
      <c r="K41" s="32"/>
      <c r="L41" s="32"/>
      <c r="M41" s="32"/>
      <c r="N41" s="32"/>
      <c r="O41" s="32"/>
      <c r="P41" s="32"/>
      <c r="Q41" s="32"/>
      <c r="R41" s="33"/>
    </row>
    <row r="42" spans="9:18" x14ac:dyDescent="0.3">
      <c r="I42" s="31"/>
      <c r="J42" s="32"/>
      <c r="K42" s="32"/>
      <c r="L42" s="32"/>
      <c r="M42" s="32"/>
      <c r="N42" s="32"/>
      <c r="O42" s="32"/>
      <c r="P42" s="32"/>
      <c r="Q42" s="32"/>
      <c r="R42" s="33"/>
    </row>
    <row r="43" spans="9:18" x14ac:dyDescent="0.3">
      <c r="I43" s="31"/>
      <c r="J43" s="32"/>
      <c r="K43" s="32"/>
      <c r="L43" s="32"/>
      <c r="M43" s="32"/>
      <c r="N43" s="32"/>
      <c r="O43" s="32"/>
      <c r="P43" s="32"/>
      <c r="Q43" s="32"/>
      <c r="R43" s="33"/>
    </row>
    <row r="44" spans="9:18" x14ac:dyDescent="0.3">
      <c r="I44" s="31"/>
      <c r="J44" s="32"/>
      <c r="K44" s="32"/>
      <c r="L44" s="32"/>
      <c r="M44" s="32"/>
      <c r="N44" s="32"/>
      <c r="O44" s="32"/>
      <c r="P44" s="32"/>
      <c r="Q44" s="32"/>
      <c r="R44" s="33"/>
    </row>
    <row r="45" spans="9:18" ht="15.65" thickBot="1" x14ac:dyDescent="0.35">
      <c r="I45" s="34"/>
      <c r="J45" s="35"/>
      <c r="K45" s="35"/>
      <c r="L45" s="35"/>
      <c r="M45" s="35"/>
      <c r="N45" s="35"/>
      <c r="O45" s="35"/>
      <c r="P45" s="35"/>
      <c r="Q45" s="35"/>
      <c r="R45" s="36"/>
    </row>
  </sheetData>
  <mergeCells count="4">
    <mergeCell ref="I2:K2"/>
    <mergeCell ref="C4:G4"/>
    <mergeCell ref="C10:F10"/>
    <mergeCell ref="C16:E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81DB-CDD8-4CF0-B995-68970B44831E}">
  <dimension ref="B1:AH35"/>
  <sheetViews>
    <sheetView tabSelected="1" zoomScale="70" zoomScaleNormal="70" workbookViewId="0">
      <selection activeCell="E21" sqref="E21:G21"/>
    </sheetView>
  </sheetViews>
  <sheetFormatPr baseColWidth="10" defaultRowHeight="15.05" x14ac:dyDescent="0.3"/>
  <cols>
    <col min="2" max="2" width="12.77734375" customWidth="1"/>
    <col min="8" max="9" width="11.5546875" customWidth="1"/>
    <col min="10" max="10" width="12.88671875" customWidth="1"/>
    <col min="16" max="16" width="3.77734375" customWidth="1"/>
    <col min="18" max="18" width="11.5546875" customWidth="1"/>
    <col min="25" max="25" width="3.77734375" customWidth="1"/>
    <col min="27" max="27" width="11.5546875" customWidth="1"/>
    <col min="34" max="34" width="3.77734375" customWidth="1"/>
  </cols>
  <sheetData>
    <row r="1" spans="2:34" ht="15.65" thickBot="1" x14ac:dyDescent="0.35"/>
    <row r="2" spans="2:34" ht="15.65" thickBot="1" x14ac:dyDescent="0.35">
      <c r="B2" s="9" t="s">
        <v>1</v>
      </c>
      <c r="C2" s="10">
        <f>AVERAGE(uo288066_db_usuarios!C:C)</f>
        <v>39.6</v>
      </c>
    </row>
    <row r="3" spans="2:34" ht="15.65" thickBot="1" x14ac:dyDescent="0.35"/>
    <row r="4" spans="2:34" ht="15.65" thickBot="1" x14ac:dyDescent="0.35">
      <c r="C4" s="70" t="s">
        <v>2</v>
      </c>
      <c r="D4" s="71"/>
      <c r="E4" s="71"/>
      <c r="F4" s="71"/>
      <c r="G4" s="72"/>
      <c r="K4" s="94" t="s">
        <v>11</v>
      </c>
      <c r="L4" s="95"/>
      <c r="M4" s="95"/>
      <c r="N4" s="96"/>
      <c r="P4" s="79" t="s">
        <v>20</v>
      </c>
      <c r="Q4" s="80"/>
      <c r="R4" s="81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30"/>
    </row>
    <row r="5" spans="2:34" ht="15.65" thickBot="1" x14ac:dyDescent="0.35">
      <c r="B5" s="1" t="s">
        <v>8</v>
      </c>
      <c r="C5" s="3" t="s">
        <v>3</v>
      </c>
      <c r="D5" s="4" t="s">
        <v>4</v>
      </c>
      <c r="E5" s="4" t="s">
        <v>5</v>
      </c>
      <c r="F5" s="4" t="s">
        <v>6</v>
      </c>
      <c r="G5" s="2" t="s">
        <v>7</v>
      </c>
      <c r="J5" s="5" t="s">
        <v>8</v>
      </c>
      <c r="K5" s="40" t="s">
        <v>15</v>
      </c>
      <c r="L5" s="6" t="s">
        <v>12</v>
      </c>
      <c r="M5" s="7" t="s">
        <v>13</v>
      </c>
      <c r="N5" s="8" t="s">
        <v>14</v>
      </c>
      <c r="P5" s="31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3"/>
    </row>
    <row r="6" spans="2:34" ht="15.65" thickBot="1" x14ac:dyDescent="0.35">
      <c r="B6" s="43" t="s">
        <v>9</v>
      </c>
      <c r="C6" s="17">
        <f>COUNTIF(uo288066_db_usuarios!C:C,"&lt;=20")</f>
        <v>0</v>
      </c>
      <c r="D6" s="18">
        <f>COUNTIFS(uo288066_db_usuarios!C:C,"&gt;20", uo288066_db_usuarios!C:C,"&lt;=30")</f>
        <v>2</v>
      </c>
      <c r="E6">
        <f>COUNTIFS(uo288066_db_usuarios!C:C,"&gt;30", uo288066_db_usuarios!C:C,"&lt;=40")</f>
        <v>1</v>
      </c>
      <c r="F6" s="18">
        <f>COUNTIFS(uo288066_db_usuarios!C:C,"&gt;40", uo288066_db_usuarios!C:C,"&lt;=65")</f>
        <v>2</v>
      </c>
      <c r="G6" s="19">
        <f>COUNTIF(uo288066_db_usuarios!C:C,"&gt;65")</f>
        <v>0</v>
      </c>
      <c r="J6" s="5" t="s">
        <v>9</v>
      </c>
      <c r="K6" s="41">
        <f>COUNTIF(uo288066_db_usuarios!E:E,"&lt;=3")</f>
        <v>1</v>
      </c>
      <c r="L6" s="15">
        <f>COUNTIFS(uo288066_db_usuarios!E:E,"&gt;3", uo288066_db_usuarios!E:E,"&lt;=5")</f>
        <v>0</v>
      </c>
      <c r="M6" s="15">
        <f>COUNTIFS(uo288066_db_usuarios!E:E,"&gt;5", uo288066_db_usuarios!E:E,"&lt;=7")</f>
        <v>1</v>
      </c>
      <c r="N6" s="16">
        <f>COUNTIFS(uo288066_db_usuarios!E:E,"&gt;7", uo288066_db_usuarios!E:E,"&lt;=10")</f>
        <v>3</v>
      </c>
      <c r="P6" s="31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3"/>
    </row>
    <row r="7" spans="2:34" ht="15.65" thickBot="1" x14ac:dyDescent="0.35">
      <c r="B7" s="1" t="s">
        <v>10</v>
      </c>
      <c r="C7" s="26">
        <f t="shared" ref="C7:F7" si="0" xml:space="preserve"> C6/($C$6+$D$6+$E$6+$F$6+$G$6)</f>
        <v>0</v>
      </c>
      <c r="D7" s="44">
        <f t="shared" si="0"/>
        <v>0.4</v>
      </c>
      <c r="E7" s="44">
        <f t="shared" si="0"/>
        <v>0.2</v>
      </c>
      <c r="F7" s="44">
        <f t="shared" si="0"/>
        <v>0.4</v>
      </c>
      <c r="G7" s="44">
        <f xml:space="preserve"> G6/($C$6+$D$6+$E$6+$F$6+$G$6)</f>
        <v>0</v>
      </c>
      <c r="J7" s="42" t="s">
        <v>10</v>
      </c>
      <c r="K7" s="37">
        <f xml:space="preserve"> K6/($K$6+$L$6+$M$6+$N$6)</f>
        <v>0.2</v>
      </c>
      <c r="L7" s="38">
        <f xml:space="preserve"> L6/($K$6+$L$6+$M$6+$N$6)</f>
        <v>0</v>
      </c>
      <c r="M7" s="38">
        <f xml:space="preserve"> M6/($K$6+$L$6+$M$6+$N$6)</f>
        <v>0.2</v>
      </c>
      <c r="N7" s="39">
        <f xml:space="preserve"> N6/($K$6+$L$6+$M$6+$N$6)</f>
        <v>0.6</v>
      </c>
      <c r="P7" s="31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3"/>
    </row>
    <row r="8" spans="2:34" x14ac:dyDescent="0.3">
      <c r="P8" s="31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3"/>
    </row>
    <row r="9" spans="2:34" ht="15.65" thickBot="1" x14ac:dyDescent="0.35">
      <c r="P9" s="31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3"/>
    </row>
    <row r="10" spans="2:34" ht="15.65" thickBot="1" x14ac:dyDescent="0.35">
      <c r="C10" s="97" t="s">
        <v>16</v>
      </c>
      <c r="D10" s="98"/>
      <c r="E10" s="99"/>
      <c r="K10" s="100" t="s">
        <v>35</v>
      </c>
      <c r="L10" s="101"/>
      <c r="M10" s="102"/>
      <c r="P10" s="31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3"/>
    </row>
    <row r="11" spans="2:34" ht="15.65" thickBot="1" x14ac:dyDescent="0.35">
      <c r="C11" s="13" t="s">
        <v>17</v>
      </c>
      <c r="D11" s="22" t="s">
        <v>18</v>
      </c>
      <c r="E11" s="14" t="s">
        <v>33</v>
      </c>
      <c r="J11" s="48" t="s">
        <v>36</v>
      </c>
      <c r="K11" s="50" t="s">
        <v>39</v>
      </c>
      <c r="L11" s="51" t="s">
        <v>40</v>
      </c>
      <c r="M11" s="52" t="s">
        <v>41</v>
      </c>
      <c r="P11" s="31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3"/>
    </row>
    <row r="12" spans="2:34" ht="15.65" thickBot="1" x14ac:dyDescent="0.35">
      <c r="B12" s="11" t="s">
        <v>19</v>
      </c>
      <c r="C12" s="27">
        <f>COUNTIF(uo288066_db_usuarios!D:D, "Femenino")</f>
        <v>1</v>
      </c>
      <c r="D12" s="23">
        <f>COUNTIF(uo288066_db_usuarios!D:D, "Masculino")</f>
        <v>4</v>
      </c>
      <c r="E12" s="21" cm="1">
        <f t="array" ref="E12">COUNTIF(uo288066_db_usuarios!D:D, Otro)</f>
        <v>0</v>
      </c>
      <c r="J12" s="49" t="s">
        <v>38</v>
      </c>
      <c r="K12" s="46">
        <f>AVERAGE(uo288066_db_resultados!D2:D3)</f>
        <v>39.5</v>
      </c>
      <c r="L12" s="47">
        <f>AVERAGE(uo288066_db_resultados!D4:D6)</f>
        <v>223.66666666666666</v>
      </c>
      <c r="M12" s="28" t="e">
        <f>AVERAGE(uo288066_db_resultados!D7:D9)</f>
        <v>#DIV/0!</v>
      </c>
      <c r="P12" s="31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3"/>
    </row>
    <row r="13" spans="2:34" ht="15.65" thickBot="1" x14ac:dyDescent="0.35">
      <c r="B13" s="12" t="s">
        <v>10</v>
      </c>
      <c r="C13" s="24">
        <f xml:space="preserve"> C12/($C$12+$D$12+$E$12)</f>
        <v>0.2</v>
      </c>
      <c r="D13" s="45">
        <f xml:space="preserve"> D12/($C$12+$D$12+$E$12)</f>
        <v>0.8</v>
      </c>
      <c r="E13" s="25">
        <f xml:space="preserve"> E12/($C$12+$D$12+$E$12)</f>
        <v>0</v>
      </c>
      <c r="P13" s="31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3"/>
    </row>
    <row r="14" spans="2:34" x14ac:dyDescent="0.3">
      <c r="C14" s="20"/>
      <c r="P14" s="31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3"/>
    </row>
    <row r="15" spans="2:34" ht="15.65" thickBot="1" x14ac:dyDescent="0.35">
      <c r="P15" s="31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3"/>
    </row>
    <row r="16" spans="2:34" ht="15.65" thickBot="1" x14ac:dyDescent="0.35">
      <c r="C16" s="88" t="s">
        <v>35</v>
      </c>
      <c r="D16" s="89"/>
      <c r="E16" s="89"/>
      <c r="F16" s="89"/>
      <c r="G16" s="89"/>
      <c r="H16" s="89"/>
      <c r="I16" s="89"/>
      <c r="J16" s="90"/>
      <c r="P16" s="31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3"/>
    </row>
    <row r="17" spans="2:34" ht="15.65" thickBot="1" x14ac:dyDescent="0.35">
      <c r="B17" s="54" t="s">
        <v>36</v>
      </c>
      <c r="C17" s="85" t="s">
        <v>39</v>
      </c>
      <c r="D17" s="86"/>
      <c r="E17" s="85" t="s">
        <v>40</v>
      </c>
      <c r="F17" s="87"/>
      <c r="G17" s="86"/>
      <c r="H17" s="85" t="s">
        <v>41</v>
      </c>
      <c r="I17" s="87"/>
      <c r="J17" s="86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3"/>
    </row>
    <row r="18" spans="2:34" ht="15.65" thickBot="1" x14ac:dyDescent="0.35">
      <c r="B18" s="54" t="s">
        <v>42</v>
      </c>
      <c r="C18" s="60">
        <v>1</v>
      </c>
      <c r="D18" s="61">
        <v>2</v>
      </c>
      <c r="E18" s="60">
        <v>3</v>
      </c>
      <c r="F18" s="62">
        <v>4</v>
      </c>
      <c r="G18" s="61">
        <v>5</v>
      </c>
      <c r="H18" s="60">
        <v>6</v>
      </c>
      <c r="I18" s="62">
        <v>7</v>
      </c>
      <c r="J18" s="61">
        <v>8</v>
      </c>
      <c r="P18" s="31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3"/>
    </row>
    <row r="19" spans="2:34" ht="15.65" thickBot="1" x14ac:dyDescent="0.35">
      <c r="B19" s="54" t="s">
        <v>43</v>
      </c>
      <c r="C19" s="56">
        <f>uo288066_db_usuarios!E2</f>
        <v>10</v>
      </c>
      <c r="D19" s="59">
        <f>uo288066_db_usuarios!E3</f>
        <v>10</v>
      </c>
      <c r="E19" s="56">
        <f>uo288066_db_usuarios!E4</f>
        <v>8</v>
      </c>
      <c r="F19" s="58">
        <f>uo288066_db_usuarios!E5</f>
        <v>6</v>
      </c>
      <c r="G19" s="59">
        <f>uo288066_db_usuarios!E6</f>
        <v>3</v>
      </c>
      <c r="H19" s="56">
        <f>uo288066_db_usuarios!E8</f>
        <v>0</v>
      </c>
      <c r="I19" s="58">
        <f>uo288066_db_usuarios!E9</f>
        <v>0</v>
      </c>
      <c r="J19" s="57">
        <f>uo288066_db_usuarios!E10</f>
        <v>0</v>
      </c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3"/>
    </row>
    <row r="20" spans="2:34" ht="15.65" thickBot="1" x14ac:dyDescent="0.35">
      <c r="B20" s="54" t="s">
        <v>37</v>
      </c>
      <c r="C20" s="63">
        <f>uo288066_db_resultados!D2</f>
        <v>35</v>
      </c>
      <c r="D20" s="21">
        <f>uo288066_db_resultados!D3</f>
        <v>44</v>
      </c>
      <c r="E20" s="63">
        <f>uo288066_db_resultados!D4</f>
        <v>126</v>
      </c>
      <c r="F20" s="53">
        <f>uo288066_db_resultados!D5</f>
        <v>214</v>
      </c>
      <c r="G20" s="21">
        <f>uo288066_db_resultados!D6</f>
        <v>331</v>
      </c>
      <c r="H20" s="63">
        <f>uo288066_db_resultados!D7</f>
        <v>0</v>
      </c>
      <c r="I20" s="53">
        <f>uo288066_db_resultados!D8</f>
        <v>0</v>
      </c>
      <c r="J20" s="21">
        <f>uo288066_db_resultados!D9</f>
        <v>0</v>
      </c>
      <c r="P20" s="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3"/>
    </row>
    <row r="21" spans="2:34" ht="15.65" thickBot="1" x14ac:dyDescent="0.35">
      <c r="B21" s="55" t="s">
        <v>38</v>
      </c>
      <c r="C21" s="91">
        <f xml:space="preserve"> AVERAGE(C20:D20)</f>
        <v>39.5</v>
      </c>
      <c r="D21" s="92"/>
      <c r="E21" s="91">
        <f>AVERAGE(E20:G20)</f>
        <v>223.66666666666666</v>
      </c>
      <c r="F21" s="93"/>
      <c r="G21" s="92"/>
      <c r="H21" s="91">
        <f>AVERAGE(H20:J20)</f>
        <v>0</v>
      </c>
      <c r="I21" s="93"/>
      <c r="J21" s="92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3"/>
    </row>
    <row r="22" spans="2:34" x14ac:dyDescent="0.3">
      <c r="P22" s="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3"/>
    </row>
    <row r="23" spans="2:34" ht="15.65" thickBot="1" x14ac:dyDescent="0.35">
      <c r="P23" s="3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3"/>
    </row>
    <row r="24" spans="2:34" ht="15.65" thickBot="1" x14ac:dyDescent="0.35">
      <c r="C24" s="82" t="s">
        <v>44</v>
      </c>
      <c r="D24" s="83"/>
      <c r="E24" s="83"/>
      <c r="F24" s="83"/>
      <c r="G24" s="83"/>
      <c r="H24" s="83"/>
      <c r="I24" s="83"/>
      <c r="J24" s="84"/>
      <c r="P24" s="3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3"/>
    </row>
    <row r="25" spans="2:34" ht="15.65" thickBot="1" x14ac:dyDescent="0.35">
      <c r="B25" s="68" t="s">
        <v>42</v>
      </c>
      <c r="C25" s="65">
        <v>1</v>
      </c>
      <c r="D25" s="66">
        <v>2</v>
      </c>
      <c r="E25" s="66">
        <v>3</v>
      </c>
      <c r="F25" s="66">
        <v>4</v>
      </c>
      <c r="G25" s="66">
        <v>5</v>
      </c>
      <c r="H25" s="66">
        <v>6</v>
      </c>
      <c r="I25" s="66">
        <v>7</v>
      </c>
      <c r="J25" s="67">
        <v>8</v>
      </c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3"/>
    </row>
    <row r="26" spans="2:34" ht="15.65" thickBot="1" x14ac:dyDescent="0.35">
      <c r="B26" s="69" t="s">
        <v>43</v>
      </c>
      <c r="C26" s="23">
        <f>C19/10</f>
        <v>1</v>
      </c>
      <c r="D26" s="53">
        <f t="shared" ref="D26:J26" si="1">D19/10</f>
        <v>1</v>
      </c>
      <c r="E26" s="53">
        <f t="shared" si="1"/>
        <v>0.8</v>
      </c>
      <c r="F26" s="53">
        <f t="shared" si="1"/>
        <v>0.6</v>
      </c>
      <c r="G26" s="53">
        <f t="shared" si="1"/>
        <v>0.3</v>
      </c>
      <c r="H26" s="53">
        <f t="shared" si="1"/>
        <v>0</v>
      </c>
      <c r="I26" s="53">
        <f t="shared" si="1"/>
        <v>0</v>
      </c>
      <c r="J26" s="21">
        <f t="shared" si="1"/>
        <v>0</v>
      </c>
      <c r="P26" s="31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3"/>
    </row>
    <row r="27" spans="2:34" ht="15.65" thickBot="1" x14ac:dyDescent="0.35">
      <c r="B27" s="68" t="s">
        <v>37</v>
      </c>
      <c r="C27" s="64">
        <f>(C20) / (MAX($C$20:$J$20) - MIN($C$20:$J$20))</f>
        <v>0.10574018126888217</v>
      </c>
      <c r="D27" s="47">
        <f t="shared" ref="D27:J27" si="2">(D20) / (MAX($C$20:$J$20) - MIN($C$20:$J$20))</f>
        <v>0.13293051359516617</v>
      </c>
      <c r="E27" s="47">
        <f t="shared" si="2"/>
        <v>0.38066465256797583</v>
      </c>
      <c r="F27" s="47">
        <f t="shared" si="2"/>
        <v>0.6465256797583081</v>
      </c>
      <c r="G27" s="47">
        <f t="shared" si="2"/>
        <v>1</v>
      </c>
      <c r="H27" s="47">
        <f t="shared" si="2"/>
        <v>0</v>
      </c>
      <c r="I27" s="47">
        <f t="shared" si="2"/>
        <v>0</v>
      </c>
      <c r="J27" s="28">
        <f t="shared" si="2"/>
        <v>0</v>
      </c>
      <c r="P27" s="31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3"/>
    </row>
    <row r="28" spans="2:34" x14ac:dyDescent="0.3">
      <c r="P28" s="31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3"/>
    </row>
    <row r="29" spans="2:34" x14ac:dyDescent="0.3"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3"/>
    </row>
    <row r="30" spans="2:34" x14ac:dyDescent="0.3">
      <c r="P30" s="31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3"/>
    </row>
    <row r="31" spans="2:34" x14ac:dyDescent="0.3">
      <c r="P31" s="31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3"/>
    </row>
    <row r="32" spans="2:34" x14ac:dyDescent="0.3">
      <c r="P32" s="31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3"/>
    </row>
    <row r="33" spans="16:34" x14ac:dyDescent="0.3">
      <c r="P33" s="31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3"/>
    </row>
    <row r="34" spans="16:34" x14ac:dyDescent="0.3">
      <c r="P34" s="31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3"/>
    </row>
    <row r="35" spans="16:34" ht="15.65" thickBot="1" x14ac:dyDescent="0.35">
      <c r="P35" s="34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6"/>
    </row>
  </sheetData>
  <mergeCells count="13">
    <mergeCell ref="P4:R4"/>
    <mergeCell ref="C4:G4"/>
    <mergeCell ref="K4:N4"/>
    <mergeCell ref="C10:E10"/>
    <mergeCell ref="K10:M10"/>
    <mergeCell ref="C24:J24"/>
    <mergeCell ref="C17:D17"/>
    <mergeCell ref="E17:G17"/>
    <mergeCell ref="H17:J17"/>
    <mergeCell ref="C16:J16"/>
    <mergeCell ref="C21:D21"/>
    <mergeCell ref="E21:G21"/>
    <mergeCell ref="H21:J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2B3257-58B0-4393-8278-E13C1E61F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uo288066_db_resultados</vt:lpstr>
      <vt:lpstr>uo288066_db_usuarios</vt:lpstr>
      <vt:lpstr>stats_1</vt:lpstr>
      <vt:lpstr>stats_2</vt:lpstr>
      <vt:lpstr>stats_3</vt:lpstr>
      <vt:lpstr>stats_general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Alonso Grela</dc:creator>
  <cp:lastModifiedBy>Olga Alonso Grela</cp:lastModifiedBy>
  <dcterms:created xsi:type="dcterms:W3CDTF">2025-12-09T17:29:12Z</dcterms:created>
  <dcterms:modified xsi:type="dcterms:W3CDTF">2025-12-12T19:55:47Z</dcterms:modified>
</cp:coreProperties>
</file>